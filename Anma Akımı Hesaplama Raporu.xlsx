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BuÇalışmaKitabı" defaultThemeVersion="166925"/>
  <mc:AlternateContent xmlns:mc="http://schemas.openxmlformats.org/markup-compatibility/2006">
    <mc:Choice Requires="x15">
      <x15ac:absPath xmlns:x15ac="http://schemas.microsoft.com/office/spreadsheetml/2010/11/ac" url="C:\Users\fatih.gural\Desktop\"/>
    </mc:Choice>
  </mc:AlternateContent>
  <xr:revisionPtr revIDLastSave="0" documentId="13_ncr:1_{8F79A72D-AC03-41D6-9303-E5C7E429EB87}" xr6:coauthVersionLast="47" xr6:coauthVersionMax="47" xr10:uidLastSave="{00000000-0000-0000-0000-000000000000}"/>
  <bookViews>
    <workbookView xWindow="-120" yWindow="-120" windowWidth="29040" windowHeight="15720" xr2:uid="{D3A72821-66C4-49E4-8141-C8B7AD0A89C7}"/>
  </bookViews>
  <sheets>
    <sheet name="TR" sheetId="1" r:id="rId1"/>
    <sheet name="EN" sheetId="6" r:id="rId2"/>
    <sheet name="DEU" sheetId="7" r:id="rId3"/>
    <sheet name="MAkinelerin Listesi" sheetId="3" state="hidden" r:id="rId4"/>
    <sheet name="Güç Optimizasyonu" sheetId="2" state="hidden"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0" i="1" l="1"/>
  <c r="H40" i="1" s="1"/>
  <c r="F40" i="1"/>
  <c r="G39" i="1"/>
  <c r="H39" i="1" s="1"/>
  <c r="F39" i="1"/>
  <c r="F31" i="1"/>
  <c r="H31" i="1"/>
  <c r="G31" i="1" s="1"/>
  <c r="J31" i="1"/>
  <c r="F32" i="1"/>
  <c r="H32" i="1" s="1"/>
  <c r="G32" i="1" s="1"/>
  <c r="F33" i="1"/>
  <c r="J33" i="1" s="1"/>
  <c r="F34" i="1"/>
  <c r="H34" i="1" s="1"/>
  <c r="G34" i="1" s="1"/>
  <c r="J34" i="1"/>
  <c r="F27" i="1"/>
  <c r="H27" i="1" s="1"/>
  <c r="F28" i="1"/>
  <c r="H28" i="1" s="1"/>
  <c r="G28" i="1" s="1"/>
  <c r="F29" i="1"/>
  <c r="H29" i="1" s="1"/>
  <c r="G29" i="1" s="1"/>
  <c r="F30" i="1"/>
  <c r="H30" i="1" s="1"/>
  <c r="G30" i="1" s="1"/>
  <c r="F25" i="1"/>
  <c r="H25" i="1" s="1"/>
  <c r="G25" i="1" s="1"/>
  <c r="F24" i="1"/>
  <c r="H24" i="1" s="1"/>
  <c r="G24" i="1" s="1"/>
  <c r="F23" i="1"/>
  <c r="J23" i="1" s="1"/>
  <c r="F22" i="1"/>
  <c r="H22" i="1" s="1"/>
  <c r="F21" i="1"/>
  <c r="J21" i="1" s="1"/>
  <c r="F16" i="1"/>
  <c r="J16" i="1" s="1"/>
  <c r="H16" i="1"/>
  <c r="G16" i="1" s="1"/>
  <c r="F17" i="1"/>
  <c r="H17" i="1" s="1"/>
  <c r="G17" i="1" s="1"/>
  <c r="F18" i="1"/>
  <c r="H18" i="1" s="1"/>
  <c r="G18" i="1" s="1"/>
  <c r="F19" i="1"/>
  <c r="J19" i="1" s="1"/>
  <c r="F11" i="1"/>
  <c r="H11" i="1" s="1"/>
  <c r="G11" i="1" s="1"/>
  <c r="F12" i="1"/>
  <c r="H12" i="1" s="1"/>
  <c r="G12" i="1" s="1"/>
  <c r="F13" i="1"/>
  <c r="H13" i="1" s="1"/>
  <c r="G13" i="1" s="1"/>
  <c r="F38" i="7"/>
  <c r="J38" i="7" s="1"/>
  <c r="F37" i="7"/>
  <c r="J37" i="7" s="1"/>
  <c r="F36" i="7"/>
  <c r="J36" i="7" s="1"/>
  <c r="F35" i="7"/>
  <c r="J35" i="7" s="1"/>
  <c r="F34" i="7"/>
  <c r="J34" i="7" s="1"/>
  <c r="F33" i="7"/>
  <c r="J33" i="7" s="1"/>
  <c r="F32" i="7"/>
  <c r="F39" i="7" s="1"/>
  <c r="F30" i="7"/>
  <c r="J30" i="7" s="1"/>
  <c r="F29" i="7"/>
  <c r="J29" i="7" s="1"/>
  <c r="F28" i="7"/>
  <c r="J28" i="7" s="1"/>
  <c r="F27" i="7"/>
  <c r="J27" i="7" s="1"/>
  <c r="F26" i="7"/>
  <c r="J26" i="7" s="1"/>
  <c r="F25" i="7"/>
  <c r="J25" i="7" s="1"/>
  <c r="F24" i="7"/>
  <c r="J24" i="7" s="1"/>
  <c r="J31" i="7" s="1"/>
  <c r="F22" i="7"/>
  <c r="J22" i="7" s="1"/>
  <c r="F21" i="7"/>
  <c r="J21" i="7" s="1"/>
  <c r="F20" i="7"/>
  <c r="J20" i="7" s="1"/>
  <c r="F18" i="7"/>
  <c r="J18" i="7" s="1"/>
  <c r="F17" i="7"/>
  <c r="J17" i="7" s="1"/>
  <c r="F16" i="7"/>
  <c r="J16" i="7" s="1"/>
  <c r="J19" i="7" s="1"/>
  <c r="F14" i="7"/>
  <c r="J14" i="7" s="1"/>
  <c r="F13" i="7"/>
  <c r="J13" i="7" s="1"/>
  <c r="F12" i="7"/>
  <c r="J12" i="7" s="1"/>
  <c r="J15" i="7" s="1"/>
  <c r="F10" i="7"/>
  <c r="F11" i="7" s="1"/>
  <c r="F38" i="6"/>
  <c r="J38" i="6" s="1"/>
  <c r="F37" i="6"/>
  <c r="J37" i="6" s="1"/>
  <c r="F36" i="6"/>
  <c r="J36" i="6" s="1"/>
  <c r="F35" i="6"/>
  <c r="J35" i="6" s="1"/>
  <c r="F34" i="6"/>
  <c r="J34" i="6" s="1"/>
  <c r="F33" i="6"/>
  <c r="J33" i="6" s="1"/>
  <c r="F32" i="6"/>
  <c r="F30" i="6"/>
  <c r="J30" i="6" s="1"/>
  <c r="F29" i="6"/>
  <c r="J29" i="6" s="1"/>
  <c r="F28" i="6"/>
  <c r="J28" i="6" s="1"/>
  <c r="F27" i="6"/>
  <c r="J27" i="6" s="1"/>
  <c r="F26" i="6"/>
  <c r="J26" i="6" s="1"/>
  <c r="F25" i="6"/>
  <c r="F24" i="6"/>
  <c r="J24" i="6" s="1"/>
  <c r="F22" i="6"/>
  <c r="H22" i="6" s="1"/>
  <c r="G22" i="6" s="1"/>
  <c r="F21" i="6"/>
  <c r="J21" i="6" s="1"/>
  <c r="F20" i="6"/>
  <c r="J20" i="6" s="1"/>
  <c r="F18" i="6"/>
  <c r="J18" i="6" s="1"/>
  <c r="F17" i="6"/>
  <c r="J17" i="6" s="1"/>
  <c r="F16" i="6"/>
  <c r="H16" i="6" s="1"/>
  <c r="F14" i="6"/>
  <c r="J14" i="6" s="1"/>
  <c r="F13" i="6"/>
  <c r="J13" i="6" s="1"/>
  <c r="F12" i="6"/>
  <c r="J12" i="6" s="1"/>
  <c r="F10" i="6"/>
  <c r="H10" i="6" s="1"/>
  <c r="H11" i="6" s="1"/>
  <c r="F11" i="2"/>
  <c r="H11" i="2"/>
  <c r="G11" i="2" s="1"/>
  <c r="J11" i="2"/>
  <c r="F13" i="2"/>
  <c r="H13" i="2" s="1"/>
  <c r="G13" i="2" s="1"/>
  <c r="F19" i="2"/>
  <c r="H19" i="2" s="1"/>
  <c r="G19" i="2" s="1"/>
  <c r="F20" i="2"/>
  <c r="H20" i="2" s="1"/>
  <c r="G20" i="2" s="1"/>
  <c r="F33" i="2"/>
  <c r="H33" i="2" s="1"/>
  <c r="G33" i="2" s="1"/>
  <c r="F32" i="2"/>
  <c r="J32" i="2" s="1"/>
  <c r="F31" i="2"/>
  <c r="J31" i="2" s="1"/>
  <c r="F29" i="2"/>
  <c r="H29" i="2" s="1"/>
  <c r="G29" i="2" s="1"/>
  <c r="F28" i="2"/>
  <c r="H28" i="2" s="1"/>
  <c r="G28" i="2" s="1"/>
  <c r="F27" i="2"/>
  <c r="J27" i="2" s="1"/>
  <c r="F25" i="2"/>
  <c r="J25" i="2" s="1"/>
  <c r="F24" i="2"/>
  <c r="J24" i="2" s="1"/>
  <c r="F23" i="2"/>
  <c r="J23" i="2" s="1"/>
  <c r="F21" i="2"/>
  <c r="J21" i="2" s="1"/>
  <c r="F17" i="2"/>
  <c r="J17" i="2" s="1"/>
  <c r="F16" i="2"/>
  <c r="J16" i="2" s="1"/>
  <c r="F15" i="2"/>
  <c r="J15" i="2" s="1"/>
  <c r="F12" i="2"/>
  <c r="H12" i="2" s="1"/>
  <c r="G12" i="2" s="1"/>
  <c r="F10" i="2"/>
  <c r="J10" i="2" s="1"/>
  <c r="F15" i="1"/>
  <c r="F10" i="1"/>
  <c r="J10" i="1" s="1"/>
  <c r="H33" i="1" l="1"/>
  <c r="G33" i="1" s="1"/>
  <c r="J32" i="1"/>
  <c r="J28" i="1"/>
  <c r="G27" i="1"/>
  <c r="J24" i="1"/>
  <c r="F26" i="1"/>
  <c r="F35" i="1"/>
  <c r="J30" i="1"/>
  <c r="J27" i="1"/>
  <c r="J25" i="1"/>
  <c r="J29" i="1"/>
  <c r="H21" i="1"/>
  <c r="G21" i="1" s="1"/>
  <c r="F20" i="1"/>
  <c r="J22" i="1"/>
  <c r="G22" i="1"/>
  <c r="H23" i="1"/>
  <c r="G23" i="1" s="1"/>
  <c r="J18" i="1"/>
  <c r="H19" i="1"/>
  <c r="G19" i="1" s="1"/>
  <c r="J17" i="1"/>
  <c r="J11" i="1"/>
  <c r="J13" i="1"/>
  <c r="F14" i="1"/>
  <c r="J12" i="1"/>
  <c r="F11" i="6"/>
  <c r="F39" i="6"/>
  <c r="F19" i="6"/>
  <c r="F31" i="6"/>
  <c r="J23" i="7"/>
  <c r="F19" i="7"/>
  <c r="F46" i="7" s="1"/>
  <c r="F31" i="7"/>
  <c r="H10" i="7"/>
  <c r="H13" i="7"/>
  <c r="G13" i="7" s="1"/>
  <c r="H16" i="7"/>
  <c r="H22" i="7"/>
  <c r="G22" i="7" s="1"/>
  <c r="H25" i="7"/>
  <c r="G25" i="7" s="1"/>
  <c r="H28" i="7"/>
  <c r="G28" i="7" s="1"/>
  <c r="H34" i="7"/>
  <c r="G34" i="7" s="1"/>
  <c r="H37" i="7"/>
  <c r="G37" i="7" s="1"/>
  <c r="J10" i="7"/>
  <c r="J11" i="7" s="1"/>
  <c r="F23" i="7"/>
  <c r="H14" i="7"/>
  <c r="G14" i="7" s="1"/>
  <c r="H17" i="7"/>
  <c r="G17" i="7" s="1"/>
  <c r="H20" i="7"/>
  <c r="H26" i="7"/>
  <c r="G26" i="7" s="1"/>
  <c r="H29" i="7"/>
  <c r="G29" i="7" s="1"/>
  <c r="H32" i="7"/>
  <c r="H35" i="7"/>
  <c r="G35" i="7" s="1"/>
  <c r="H38" i="7"/>
  <c r="G38" i="7" s="1"/>
  <c r="J32" i="7"/>
  <c r="J39" i="7" s="1"/>
  <c r="F15" i="7"/>
  <c r="F45" i="7" s="1"/>
  <c r="H12" i="7"/>
  <c r="H18" i="7"/>
  <c r="G18" i="7" s="1"/>
  <c r="H21" i="7"/>
  <c r="G21" i="7" s="1"/>
  <c r="H24" i="7"/>
  <c r="H27" i="7"/>
  <c r="G27" i="7" s="1"/>
  <c r="H30" i="7"/>
  <c r="G30" i="7" s="1"/>
  <c r="H33" i="7"/>
  <c r="G33" i="7" s="1"/>
  <c r="H36" i="7"/>
  <c r="G36" i="7" s="1"/>
  <c r="J15" i="6"/>
  <c r="G16" i="6"/>
  <c r="G10" i="6"/>
  <c r="G11" i="6" s="1"/>
  <c r="H13" i="6"/>
  <c r="G13" i="6" s="1"/>
  <c r="H25" i="6"/>
  <c r="G25" i="6" s="1"/>
  <c r="H28" i="6"/>
  <c r="G28" i="6" s="1"/>
  <c r="H34" i="6"/>
  <c r="G34" i="6" s="1"/>
  <c r="H37" i="6"/>
  <c r="G37" i="6" s="1"/>
  <c r="J10" i="6"/>
  <c r="J11" i="6" s="1"/>
  <c r="J16" i="6"/>
  <c r="J19" i="6" s="1"/>
  <c r="J22" i="6"/>
  <c r="J23" i="6" s="1"/>
  <c r="J25" i="6"/>
  <c r="J31" i="6" s="1"/>
  <c r="F23" i="6"/>
  <c r="H14" i="6"/>
  <c r="G14" i="6" s="1"/>
  <c r="H17" i="6"/>
  <c r="G17" i="6" s="1"/>
  <c r="H20" i="6"/>
  <c r="H26" i="6"/>
  <c r="G26" i="6" s="1"/>
  <c r="H29" i="6"/>
  <c r="G29" i="6" s="1"/>
  <c r="H32" i="6"/>
  <c r="H35" i="6"/>
  <c r="G35" i="6" s="1"/>
  <c r="H38" i="6"/>
  <c r="G38" i="6" s="1"/>
  <c r="J32" i="6"/>
  <c r="J39" i="6" s="1"/>
  <c r="F15" i="6"/>
  <c r="H12" i="6"/>
  <c r="H18" i="6"/>
  <c r="G18" i="6" s="1"/>
  <c r="H21" i="6"/>
  <c r="G21" i="6" s="1"/>
  <c r="H24" i="6"/>
  <c r="H27" i="6"/>
  <c r="G27" i="6" s="1"/>
  <c r="H30" i="6"/>
  <c r="G30" i="6" s="1"/>
  <c r="H33" i="6"/>
  <c r="G33" i="6" s="1"/>
  <c r="H36" i="6"/>
  <c r="G36" i="6" s="1"/>
  <c r="J13" i="2"/>
  <c r="J20" i="2"/>
  <c r="F26" i="2"/>
  <c r="J19" i="2"/>
  <c r="J22" i="2" s="1"/>
  <c r="J12" i="2"/>
  <c r="H27" i="2"/>
  <c r="G27" i="2" s="1"/>
  <c r="J26" i="2"/>
  <c r="J33" i="2"/>
  <c r="J34" i="2" s="1"/>
  <c r="J14" i="2"/>
  <c r="F34" i="2"/>
  <c r="J18" i="2"/>
  <c r="J28" i="2"/>
  <c r="F14" i="2"/>
  <c r="H17" i="2"/>
  <c r="G17" i="2" s="1"/>
  <c r="H23" i="2"/>
  <c r="G23" i="2" s="1"/>
  <c r="F30" i="2"/>
  <c r="H10" i="2"/>
  <c r="H21" i="2"/>
  <c r="G21" i="2" s="1"/>
  <c r="J29" i="2"/>
  <c r="F18" i="2"/>
  <c r="H15" i="2"/>
  <c r="H24" i="2"/>
  <c r="G24" i="2" s="1"/>
  <c r="H31" i="2"/>
  <c r="G31" i="2" s="1"/>
  <c r="F22" i="2"/>
  <c r="H16" i="2"/>
  <c r="G16" i="2" s="1"/>
  <c r="H25" i="2"/>
  <c r="G25" i="2" s="1"/>
  <c r="H32" i="2"/>
  <c r="G32" i="2" s="1"/>
  <c r="H15" i="1"/>
  <c r="J15" i="1"/>
  <c r="H10" i="1"/>
  <c r="F43" i="6" l="1"/>
  <c r="F46" i="6"/>
  <c r="F45" i="6"/>
  <c r="F44" i="6"/>
  <c r="G46" i="6"/>
  <c r="H46" i="6" s="1"/>
  <c r="G44" i="6"/>
  <c r="H44" i="6" s="1"/>
  <c r="G45" i="6"/>
  <c r="H45" i="6" s="1"/>
  <c r="G35" i="1"/>
  <c r="H35" i="1"/>
  <c r="J26" i="1"/>
  <c r="J35" i="1"/>
  <c r="H26" i="1"/>
  <c r="G26" i="1"/>
  <c r="J20" i="1"/>
  <c r="H20" i="1"/>
  <c r="J14" i="1"/>
  <c r="G10" i="1"/>
  <c r="G14" i="1" s="1"/>
  <c r="H14" i="1"/>
  <c r="H23" i="7"/>
  <c r="G20" i="7"/>
  <c r="G23" i="7" s="1"/>
  <c r="H39" i="7"/>
  <c r="G32" i="7"/>
  <c r="G39" i="7" s="1"/>
  <c r="G16" i="7"/>
  <c r="G19" i="7" s="1"/>
  <c r="H19" i="7"/>
  <c r="H11" i="7"/>
  <c r="G10" i="7"/>
  <c r="G11" i="7" s="1"/>
  <c r="G24" i="7"/>
  <c r="G31" i="7" s="1"/>
  <c r="H31" i="7"/>
  <c r="H15" i="7"/>
  <c r="G12" i="7"/>
  <c r="G15" i="7" s="1"/>
  <c r="G46" i="7"/>
  <c r="H46" i="7" s="1"/>
  <c r="G45" i="7"/>
  <c r="H45" i="7" s="1"/>
  <c r="G44" i="7"/>
  <c r="H44" i="7" s="1"/>
  <c r="G43" i="7"/>
  <c r="H43" i="7" s="1"/>
  <c r="F43" i="7"/>
  <c r="F44" i="7"/>
  <c r="G24" i="6"/>
  <c r="G31" i="6" s="1"/>
  <c r="H31" i="6"/>
  <c r="H15" i="6"/>
  <c r="G12" i="6"/>
  <c r="G15" i="6" s="1"/>
  <c r="H19" i="6"/>
  <c r="G19" i="6"/>
  <c r="H39" i="6"/>
  <c r="G32" i="6"/>
  <c r="G39" i="6" s="1"/>
  <c r="H23" i="6"/>
  <c r="G20" i="6"/>
  <c r="G23" i="6" s="1"/>
  <c r="G43" i="6"/>
  <c r="H43" i="6" s="1"/>
  <c r="G40" i="2"/>
  <c r="H40" i="2" s="1"/>
  <c r="G41" i="2"/>
  <c r="H41" i="2" s="1"/>
  <c r="H22" i="2"/>
  <c r="G22" i="2"/>
  <c r="H34" i="2"/>
  <c r="G34" i="2"/>
  <c r="J30" i="2"/>
  <c r="G38" i="2" s="1"/>
  <c r="H38" i="2" s="1"/>
  <c r="H26" i="2"/>
  <c r="G10" i="2"/>
  <c r="G14" i="2" s="1"/>
  <c r="H14" i="2"/>
  <c r="G30" i="2"/>
  <c r="F38" i="2"/>
  <c r="F41" i="2"/>
  <c r="F40" i="2"/>
  <c r="F39" i="2"/>
  <c r="G26" i="2"/>
  <c r="H18" i="2"/>
  <c r="G15" i="2"/>
  <c r="G18" i="2" s="1"/>
  <c r="H30" i="2"/>
  <c r="G15" i="1"/>
  <c r="G20" i="1" s="1"/>
  <c r="G39" i="2" l="1"/>
  <c r="H39" i="2" s="1"/>
</calcChain>
</file>

<file path=xl/sharedStrings.xml><?xml version="1.0" encoding="utf-8"?>
<sst xmlns="http://schemas.openxmlformats.org/spreadsheetml/2006/main" count="359" uniqueCount="94">
  <si>
    <t>Çalışma Modu</t>
  </si>
  <si>
    <t>kW</t>
  </si>
  <si>
    <t>kVAR</t>
  </si>
  <si>
    <t>kVA</t>
  </si>
  <si>
    <t>A</t>
  </si>
  <si>
    <t>Eleman</t>
  </si>
  <si>
    <r>
      <t>Cos</t>
    </r>
    <r>
      <rPr>
        <sz val="10"/>
        <color theme="1"/>
        <rFont val="Symbol"/>
        <family val="1"/>
        <charset val="2"/>
      </rPr>
      <t>j</t>
    </r>
  </si>
  <si>
    <t>Kapasite (kW)</t>
  </si>
  <si>
    <r>
      <t>Verim Oranı (</t>
    </r>
    <r>
      <rPr>
        <sz val="10"/>
        <color theme="1"/>
        <rFont val="Symbol"/>
        <family val="1"/>
        <charset val="2"/>
      </rPr>
      <t>h</t>
    </r>
    <r>
      <rPr>
        <sz val="10"/>
        <color theme="1"/>
        <rFont val="Aptos Display"/>
        <family val="2"/>
      </rPr>
      <t>)</t>
    </r>
  </si>
  <si>
    <t>Start</t>
  </si>
  <si>
    <t>Yıkama Tankı 1 Isıtıcısı</t>
  </si>
  <si>
    <t>Yıkama Tankı 2 Isıtıcısı</t>
  </si>
  <si>
    <t>Durulama Tankı 1 Isıtıcısı</t>
  </si>
  <si>
    <t>Durulama Tankı 2 Isıtıcısı</t>
  </si>
  <si>
    <t>Aktif Güç</t>
  </si>
  <si>
    <t xml:space="preserve">Reaktif Güç </t>
  </si>
  <si>
    <t>Görünür Güç</t>
  </si>
  <si>
    <t>Toplam:</t>
  </si>
  <si>
    <t>Nominal Akım</t>
  </si>
  <si>
    <t>Gerilim</t>
  </si>
  <si>
    <t>V</t>
  </si>
  <si>
    <t>-</t>
  </si>
  <si>
    <t>U</t>
  </si>
  <si>
    <r>
      <t>P</t>
    </r>
    <r>
      <rPr>
        <b/>
        <vertAlign val="subscript"/>
        <sz val="10"/>
        <color theme="1"/>
        <rFont val="Aptos Display"/>
        <family val="2"/>
      </rPr>
      <t>TOTAL</t>
    </r>
  </si>
  <si>
    <r>
      <t>Q</t>
    </r>
    <r>
      <rPr>
        <b/>
        <vertAlign val="subscript"/>
        <sz val="10"/>
        <color theme="1"/>
        <rFont val="Aptos Display"/>
        <family val="2"/>
      </rPr>
      <t>TOTAL</t>
    </r>
  </si>
  <si>
    <r>
      <t>S</t>
    </r>
    <r>
      <rPr>
        <b/>
        <vertAlign val="subscript"/>
        <sz val="10"/>
        <color theme="1"/>
        <rFont val="Aptos Display"/>
        <family val="2"/>
      </rPr>
      <t>TOTAL</t>
    </r>
  </si>
  <si>
    <r>
      <t>I</t>
    </r>
    <r>
      <rPr>
        <b/>
        <vertAlign val="subscript"/>
        <sz val="10"/>
        <color theme="1"/>
        <rFont val="Aptos Display"/>
        <family val="2"/>
      </rPr>
      <t>n</t>
    </r>
  </si>
  <si>
    <t xml:space="preserve">Yıkama Pompası </t>
  </si>
  <si>
    <t>Yıkama 
(Standart)</t>
  </si>
  <si>
    <t>Durulama</t>
  </si>
  <si>
    <t>Kurutma (Standart)</t>
  </si>
  <si>
    <t>Fan Motoru</t>
  </si>
  <si>
    <t>Kurutma Rezistansı</t>
  </si>
  <si>
    <t>Buhar Tahliye Fan Motoru</t>
  </si>
  <si>
    <t>Kurutma (Opsiyonel Leister)</t>
  </si>
  <si>
    <r>
      <t xml:space="preserve">Kurutma </t>
    </r>
    <r>
      <rPr>
        <b/>
        <sz val="10"/>
        <color theme="1"/>
        <rFont val="Aptos Display"/>
        <family val="2"/>
      </rPr>
      <t>(Opsiyonel Leister)</t>
    </r>
  </si>
  <si>
    <r>
      <t xml:space="preserve">Yıkama 
</t>
    </r>
    <r>
      <rPr>
        <b/>
        <sz val="10"/>
        <color theme="1"/>
        <rFont val="Aptos Display"/>
        <family val="2"/>
      </rPr>
      <t>(Opsiyonel - Yüksek Basınçlı)</t>
    </r>
  </si>
  <si>
    <r>
      <rPr>
        <b/>
        <sz val="10"/>
        <color theme="1"/>
        <rFont val="Aptos Display"/>
        <family val="2"/>
      </rPr>
      <t xml:space="preserve">Eş Zamanlı </t>
    </r>
    <r>
      <rPr>
        <sz val="10"/>
        <color theme="1"/>
        <rFont val="Aptos Display"/>
        <family val="2"/>
      </rPr>
      <t>Tüketiciler</t>
    </r>
  </si>
  <si>
    <t>SONUÇ</t>
  </si>
  <si>
    <t>AKTİF GÜÇ (P)</t>
  </si>
  <si>
    <t>NOMİNAL AKIM</t>
  </si>
  <si>
    <t>(A)</t>
  </si>
  <si>
    <t>MAKİNE ANMA AKIMI</t>
  </si>
  <si>
    <t xml:space="preserve">OPSİYONEL YÜKSEK BASINÇLI ÜNİTE </t>
  </si>
  <si>
    <t>STANDART ÜNİTE</t>
  </si>
  <si>
    <t>OPSİYONEL YÜKSEK BASINÇ + LEISTER</t>
  </si>
  <si>
    <t>OPSİYONEL LEISTER</t>
  </si>
  <si>
    <t>Model:</t>
  </si>
  <si>
    <t>Rapor Tarihi:</t>
  </si>
  <si>
    <t>Hazırlayan:</t>
  </si>
  <si>
    <t>Açıklama:</t>
  </si>
  <si>
    <t>Sinan Evkaya (Elektrik Elektronik Mh. Sicil No: 29261</t>
  </si>
  <si>
    <t>Rapor No:</t>
  </si>
  <si>
    <t>Ph.62027092.001</t>
  </si>
  <si>
    <r>
      <rPr>
        <b/>
        <sz val="12"/>
        <color theme="1"/>
        <rFont val="Aptos Display"/>
        <family val="2"/>
      </rPr>
      <t>Maksimum Güç ve Şalt Ekipmanı Seçimi</t>
    </r>
    <r>
      <rPr>
        <sz val="10"/>
        <color theme="1"/>
        <rFont val="Aptos Display"/>
        <family val="2"/>
      </rPr>
      <t xml:space="preserve">
</t>
    </r>
    <r>
      <rPr>
        <sz val="9"/>
        <color theme="1"/>
        <rFont val="Aptos Display"/>
        <family val="2"/>
      </rPr>
      <t>Cihazın toplam kurulu güç ve nominal anma akımı hesaplamalarında, sistemdeki tüm donanımların eşzamanlı çalıştığı en zorlu senaryo baz alınarak anlık maksimum güç ve akım (peak) değerleri tespit edilmiştir. Kullanıcıların tesise ait besleme kablosu kesitlerini ve pano şalt ekipmanlarını (şalter, kontaktör, sigorta vb.) boyutlandırırken bu maksimum değerleri referans alması gerekmektedir.</t>
    </r>
    <r>
      <rPr>
        <sz val="10"/>
        <color theme="1"/>
        <rFont val="Aptos Display"/>
        <family val="2"/>
      </rPr>
      <t xml:space="preserve">
</t>
    </r>
    <r>
      <rPr>
        <b/>
        <sz val="12"/>
        <color theme="1"/>
        <rFont val="Aptos Display"/>
        <family val="2"/>
      </rPr>
      <t>Opsiyonel Donanımların Etkisi ve Değerlendirme</t>
    </r>
    <r>
      <rPr>
        <sz val="10"/>
        <color theme="1"/>
        <rFont val="Aptos Display"/>
        <family val="2"/>
      </rPr>
      <t xml:space="preserve">
</t>
    </r>
    <r>
      <rPr>
        <sz val="9"/>
        <color theme="1"/>
        <rFont val="Aptos Display"/>
        <family val="2"/>
      </rPr>
      <t>Yapılan hesaplamalara, cihaza eklenebilecek opsiyonel donanımların ve özel isteklerin aktif güç ile nominal akım değerleri üzerindeki etkileri de eksiksiz olarak dahil edilmiştir. Bu bağlamda, cihazınızın standart konfigürasyonuna veya talep etmiş olduğunuz opsiyonel seçeneklere karşılık gelen nihai aktif güç ve akım değerleri için lütfen raporun SONUÇ bölümünü referans alınız.</t>
    </r>
    <r>
      <rPr>
        <sz val="10"/>
        <color theme="1"/>
        <rFont val="Aptos Display"/>
        <family val="2"/>
      </rPr>
      <t xml:space="preserve">
</t>
    </r>
    <r>
      <rPr>
        <b/>
        <sz val="12"/>
        <color theme="1"/>
        <rFont val="Aptos Display"/>
        <family val="2"/>
      </rPr>
      <t>Isıtma Lojiği ve Eşzamanlılık Faktörü</t>
    </r>
    <r>
      <rPr>
        <sz val="10"/>
        <color theme="1"/>
        <rFont val="Aptos Display"/>
        <family val="2"/>
      </rPr>
      <t xml:space="preserve">
</t>
    </r>
    <r>
      <rPr>
        <sz val="9"/>
        <color theme="1"/>
        <rFont val="Aptos Display"/>
        <family val="2"/>
      </rPr>
      <t>Operasyonel zaman tasarrufu sağlamak amacıyla, cihaz başlatıldığı (Start) anda yıkama ve durulama tanklarına ait rezistanslar derhal devreye girer. Proses suyunu hedef set değerine ulaştırarak sistemi en kısa sürede operasyona hazır hale getirir. Sistem, çalışma süresince termostat diferansiyel bandını ΔT=5</t>
    </r>
    <r>
      <rPr>
        <vertAlign val="superscript"/>
        <sz val="9"/>
        <color theme="1"/>
        <rFont val="Aptos Display"/>
        <family val="2"/>
      </rPr>
      <t>O</t>
    </r>
    <r>
      <rPr>
        <sz val="9"/>
        <color theme="1"/>
        <rFont val="Aptos Display"/>
        <family val="2"/>
      </rPr>
      <t>C  olarak baz alıp su sıcaklığını set değerinde sabit tutar. Ancak yıkanan parçanın ısıl kütlesi ve ortam hava sıcaklığı gibi termodinamik etkenler nedeniyle, su sıcaklığının operasyonun herhangi bir anında set değerinin 5</t>
    </r>
    <r>
      <rPr>
        <vertAlign val="superscript"/>
        <sz val="9"/>
        <color theme="1"/>
        <rFont val="Aptos Display"/>
        <family val="2"/>
      </rPr>
      <t>O</t>
    </r>
    <r>
      <rPr>
        <sz val="9"/>
        <color theme="1"/>
        <rFont val="Aptos Display"/>
        <family val="2"/>
      </rPr>
      <t xml:space="preserve">C  altına düşme ve rezistansların yeniden devreye girme ihtimali bulunmaktadır. Bu eşzamanlılık riski göz önüne alınarak, sistemin tüm operasyon modlarındaki güç hesaplamalarına tank rezistans kapasiteleri eksiksiz olarak dahil edilmiştir.
</t>
    </r>
    <r>
      <rPr>
        <sz val="10"/>
        <color theme="1"/>
        <rFont val="Aptos Display"/>
        <family val="2"/>
      </rPr>
      <t xml:space="preserve">
</t>
    </r>
    <r>
      <rPr>
        <b/>
        <sz val="12"/>
        <color theme="1"/>
        <rFont val="Aptos Display"/>
        <family val="2"/>
      </rPr>
      <t>Güç Optimizasyonu</t>
    </r>
    <r>
      <rPr>
        <sz val="10"/>
        <color theme="1"/>
        <rFont val="Aptos Display"/>
        <family val="2"/>
      </rPr>
      <t xml:space="preserve">
</t>
    </r>
    <r>
      <rPr>
        <sz val="9"/>
        <color theme="1"/>
        <rFont val="Aptos Display"/>
        <family val="2"/>
      </rPr>
      <t xml:space="preserve">Müşteri talebi doğrultusunda sistemin çalışma lojiği revize edilebilir. Tank ısıtıcılarının sürekli hazırda bekletilmesi yerine, yalnızca ilgili operasyon (yıkama veya durulama) adımlarında aktif olacak şekilde programlanması mümkündür. Yapılacak bu otomasyon ayarı ile cihazın eşzamanlılık faktörü (diversite) düşürülebilir; böylece toplam kurulu güç ve nominal akım ihtiyacı daha düşük seviyelere çekilebilir. Bu opsiyona ilişkin verilere ulaşmak için "Güç Optimizasyonu" sayfasını inceleyiniz. </t>
    </r>
  </si>
  <si>
    <r>
      <rPr>
        <b/>
        <sz val="10"/>
        <color theme="1"/>
        <rFont val="Aptos Display"/>
        <family val="2"/>
      </rPr>
      <t>Referans Alınan Standartlar ve Normlar</t>
    </r>
    <r>
      <rPr>
        <sz val="10"/>
        <color theme="1"/>
        <rFont val="Aptos Display"/>
        <family val="2"/>
      </rPr>
      <t xml:space="preserve">
</t>
    </r>
    <r>
      <rPr>
        <sz val="8"/>
        <color theme="1"/>
        <rFont val="Aptos Display"/>
        <family val="2"/>
      </rPr>
      <t>Sistem ve besleme hattı tasarımlarında uluslararası güncel normlar referans alınmıştır. Makinenin enerji beslemesi, aşırı akım koruması, kısa devre dayanımı ve dokümantasyon gereksinimleri DIN EN 60204-1 (VDE 0113-1):2026-06 standardı kapsamında değerlendirilmektedir. Müşteri tarafındaki besleme hattı hazırlıklarında ise; akım taşıma ve düzeltme katsayıları için DIN VDE 0298-4:2023-06, kablolama ve gerilim düşümü sınırları için DIN VDE 0100-520:2023-06, aşırı akım koruması için ise DIN VDE 0100-430:2010-10 standartları geçerlidir. Belirtilen bu standartlar, genel bir eşzamanlılık faktörü (diversite) belirtmemekte olup, değerlendirmeler mevcut sistemin özel koşullarına göre yapılmalıdır.</t>
    </r>
  </si>
  <si>
    <r>
      <rPr>
        <b/>
        <sz val="12"/>
        <color theme="1"/>
        <rFont val="Aptos Display"/>
        <family val="2"/>
      </rPr>
      <t>Maksimum Güç ve Şalt Ekipmanı Seçimi</t>
    </r>
    <r>
      <rPr>
        <sz val="10"/>
        <color theme="1"/>
        <rFont val="Aptos Display"/>
        <family val="2"/>
      </rPr>
      <t xml:space="preserve">
</t>
    </r>
    <r>
      <rPr>
        <sz val="9"/>
        <color theme="1"/>
        <rFont val="Aptos Display"/>
        <family val="2"/>
      </rPr>
      <t>Cihazın toplam kurulu güç ve nominal anma akımı hesaplamalarında, sistemdeki tüm donanımların eşzamanlı çalıştığı en zorlu senaryo baz alınarak anlık maksimum güç ve akım (peak) değerleri tespit edilmiştir. Kullanıcıların tesise ait besleme kablosu kesitlerini ve pano şalt ekipmanlarını (şalter, kontaktör, sigorta vb.) boyutlandırırken bu maksimum değerleri referans alması gerekmektedir.</t>
    </r>
    <r>
      <rPr>
        <sz val="10"/>
        <color theme="1"/>
        <rFont val="Aptos Display"/>
        <family val="2"/>
      </rPr>
      <t xml:space="preserve">
</t>
    </r>
    <r>
      <rPr>
        <b/>
        <sz val="12"/>
        <color theme="1"/>
        <rFont val="Aptos Display"/>
        <family val="2"/>
      </rPr>
      <t>Opsiyonel Donanımların Etkisi ve Değerlendirme</t>
    </r>
    <r>
      <rPr>
        <sz val="10"/>
        <color theme="1"/>
        <rFont val="Aptos Display"/>
        <family val="2"/>
      </rPr>
      <t xml:space="preserve">
</t>
    </r>
    <r>
      <rPr>
        <sz val="9"/>
        <color theme="1"/>
        <rFont val="Aptos Display"/>
        <family val="2"/>
      </rPr>
      <t>Yapılan hesaplamalara, cihaza eklenebilecek opsiyonel donanımların ve özel isteklerin aktif güç ile nominal akım değerleri üzerindeki etkileri de eksiksiz olarak dahil edilmiştir. Bu bağlamda, cihazınızın standart konfigürasyonuna veya talep etmiş olduğunuz opsiyonel seçeneklere karşılık gelen nihai aktif güç ve akım değerleri için lütfen raporun SONUÇ bölümünü referans alınız.</t>
    </r>
    <r>
      <rPr>
        <sz val="10"/>
        <color theme="1"/>
        <rFont val="Aptos Display"/>
        <family val="2"/>
      </rPr>
      <t xml:space="preserve">
</t>
    </r>
    <r>
      <rPr>
        <b/>
        <sz val="12"/>
        <color theme="9" tint="-0.249977111117893"/>
        <rFont val="Aptos Display"/>
        <family val="2"/>
      </rPr>
      <t>Güç Optimizasyonu</t>
    </r>
    <r>
      <rPr>
        <sz val="10"/>
        <color theme="1"/>
        <rFont val="Aptos Display"/>
        <family val="2"/>
      </rPr>
      <t xml:space="preserve">
</t>
    </r>
    <r>
      <rPr>
        <sz val="9"/>
        <color theme="1"/>
        <rFont val="Aptos Display"/>
        <family val="2"/>
      </rPr>
      <t xml:space="preserve">Bu bölümde, güç optimizasyonu koşulları çerçevesinde oluşturulan opsiyonel bir çalışma senaryosu ele alınmıştır. Müşteri talebi doğrultusunda uygulanabilecek bu optimize edilmiş sisteme ait aktif güç ve nominal anma akımı hesaplamaları aşağıda sunulmaktadır.
</t>
    </r>
    <r>
      <rPr>
        <b/>
        <u/>
        <sz val="9"/>
        <color theme="1"/>
        <rFont val="Aptos Display"/>
        <family val="2"/>
      </rPr>
      <t>Önemli Operasyonel Uyarı:</t>
    </r>
    <r>
      <rPr>
        <sz val="9"/>
        <color theme="1"/>
        <rFont val="Aptos Display"/>
        <family val="2"/>
      </rPr>
      <t xml:space="preserve"> Bu optimizasyon ile cihazın kurulu aktif gücü ve anma akımı değerleri düşürülmekle birlikte; söz konusu çalışma rejiminin, özellikle seri (ardışık) yıkama operasyonlarında toplam işlem ve bekleme sürelerini uzatacağı dikkate alınmalıdır.</t>
    </r>
  </si>
  <si>
    <t>KBN 1650 2B</t>
  </si>
  <si>
    <t xml:space="preserve">Durulama Pompası </t>
  </si>
  <si>
    <t>Fonksiyon</t>
  </si>
  <si>
    <t>Kompenent</t>
  </si>
  <si>
    <t>Yıkama Tank Isıtıcı 1</t>
  </si>
  <si>
    <t>Yıkama Tank Isıtıcı 2</t>
  </si>
  <si>
    <t xml:space="preserve">Makie Hazırlık </t>
  </si>
  <si>
    <t>Yıkama ( Yağ Alma)</t>
  </si>
  <si>
    <t>Yıkama Tank Isıtıcı 3</t>
  </si>
  <si>
    <t>Durulama Tank Isıtıcı 1</t>
  </si>
  <si>
    <t>Durulama Tank Isıtıcı 2</t>
  </si>
  <si>
    <t>Durulama Tank Isıtıcı 3</t>
  </si>
  <si>
    <t>Güç ( kw)</t>
  </si>
  <si>
    <t>Kurutma</t>
  </si>
  <si>
    <t>Kuratma Isıtıcı 1</t>
  </si>
  <si>
    <t>Kuratma Isıtıcı 2</t>
  </si>
  <si>
    <t>Kuratma Fan Motoru 1</t>
  </si>
  <si>
    <t>Kuratma Fan Motoru 2</t>
  </si>
  <si>
    <t>KBN 1B MULTİ 1350</t>
  </si>
  <si>
    <t>KBN 1B MULTİ 1500</t>
  </si>
  <si>
    <t>KBN 1B MULTİ 1650</t>
  </si>
  <si>
    <t>KBN 1B MULTİ 1850</t>
  </si>
  <si>
    <t>Yıkama Pompası Motoru 1</t>
  </si>
  <si>
    <t>Yıkama Pompası Motoru 2</t>
  </si>
  <si>
    <t>Durulama Pompa Motoru 1</t>
  </si>
  <si>
    <t>Durulama Pompa Motoru 2</t>
  </si>
  <si>
    <t>Sepet</t>
  </si>
  <si>
    <t>Sepet Tahrik Motoru</t>
  </si>
  <si>
    <t>Buhar Tahliye Fanı</t>
  </si>
  <si>
    <t>Basınçlı Yıkama</t>
  </si>
  <si>
    <t xml:space="preserve">Yüksek Basınçlı Yıkama Pompası </t>
  </si>
  <si>
    <t>Egzost Fanı Motoru</t>
  </si>
  <si>
    <t>Durulama
(Standart)</t>
  </si>
  <si>
    <t>Kurutma Fan Motoru</t>
  </si>
  <si>
    <t>KBN 2B 1500</t>
  </si>
  <si>
    <t xml:space="preserve"> 20.08.2026</t>
  </si>
  <si>
    <t>OPSİYONEL KURUTMALI ÜNİTE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</si>
</sst>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4" x14ac:knownFonts="1">
    <font>
      <sz val="11"/>
      <color theme="1"/>
      <name val="Calibri"/>
      <family val="2"/>
      <charset val="162"/>
      <scheme val="minor"/>
    </font>
    <font>
      <sz val="10"/>
      <color theme="1"/>
      <name val="Aptos Display"/>
      <family val="2"/>
    </font>
    <font>
      <sz val="10"/>
      <color theme="1"/>
      <name val="Symbol"/>
      <family val="1"/>
      <charset val="2"/>
    </font>
    <font>
      <b/>
      <sz val="10"/>
      <color theme="1"/>
      <name val="Aptos Display"/>
      <family val="2"/>
    </font>
    <font>
      <sz val="9"/>
      <color theme="1"/>
      <name val="Aptos Display"/>
      <family val="2"/>
    </font>
    <font>
      <b/>
      <vertAlign val="subscript"/>
      <sz val="10"/>
      <color theme="1"/>
      <name val="Aptos Display"/>
      <family val="2"/>
    </font>
    <font>
      <b/>
      <sz val="12"/>
      <color theme="1"/>
      <name val="Aptos Display"/>
      <family val="2"/>
    </font>
    <font>
      <b/>
      <sz val="16"/>
      <color theme="1"/>
      <name val="Aptos Display"/>
      <family val="2"/>
    </font>
    <font>
      <b/>
      <sz val="9"/>
      <color theme="1"/>
      <name val="Aptos Display"/>
      <family val="2"/>
    </font>
    <font>
      <vertAlign val="superscript"/>
      <sz val="9"/>
      <color theme="1"/>
      <name val="Aptos Display"/>
      <family val="2"/>
    </font>
    <font>
      <sz val="8"/>
      <color theme="1"/>
      <name val="Aptos Display"/>
      <family val="2"/>
    </font>
    <font>
      <b/>
      <u/>
      <sz val="9"/>
      <color theme="1"/>
      <name val="Aptos Display"/>
      <family val="2"/>
    </font>
    <font>
      <b/>
      <sz val="12"/>
      <color theme="9" tint="-0.249977111117893"/>
      <name val="Aptos Display"/>
      <family val="2"/>
    </font>
    <font>
      <sz val="8"/>
      <name val="Calibri"/>
      <family val="2"/>
      <charset val="162"/>
      <scheme val="minor"/>
    </font>
  </fonts>
  <fills count="4">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s>
  <borders count="26">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medium">
        <color indexed="64"/>
      </left>
      <right style="thin">
        <color theme="0" tint="-0.24994659260841701"/>
      </right>
      <top style="medium">
        <color indexed="64"/>
      </top>
      <bottom style="thin">
        <color theme="0" tint="-0.24994659260841701"/>
      </bottom>
      <diagonal/>
    </border>
    <border>
      <left style="thin">
        <color theme="0" tint="-0.24994659260841701"/>
      </left>
      <right style="thin">
        <color theme="0" tint="-0.24994659260841701"/>
      </right>
      <top style="medium">
        <color indexed="64"/>
      </top>
      <bottom style="thin">
        <color theme="0" tint="-0.24994659260841701"/>
      </bottom>
      <diagonal/>
    </border>
    <border>
      <left style="thin">
        <color theme="0" tint="-0.24994659260841701"/>
      </left>
      <right style="medium">
        <color indexed="64"/>
      </right>
      <top style="medium">
        <color indexed="64"/>
      </top>
      <bottom style="thin">
        <color theme="0" tint="-0.24994659260841701"/>
      </bottom>
      <diagonal/>
    </border>
    <border>
      <left style="medium">
        <color indexed="64"/>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indexed="64"/>
      </right>
      <top style="thin">
        <color theme="0" tint="-0.24994659260841701"/>
      </top>
      <bottom style="thin">
        <color theme="0" tint="-0.24994659260841701"/>
      </bottom>
      <diagonal/>
    </border>
    <border>
      <left style="medium">
        <color indexed="64"/>
      </left>
      <right style="thin">
        <color theme="0" tint="-0.24994659260841701"/>
      </right>
      <top style="thin">
        <color theme="0" tint="-0.24994659260841701"/>
      </top>
      <bottom style="medium">
        <color indexed="64"/>
      </bottom>
      <diagonal/>
    </border>
    <border>
      <left style="thin">
        <color theme="0" tint="-0.24994659260841701"/>
      </left>
      <right style="thin">
        <color theme="0" tint="-0.24994659260841701"/>
      </right>
      <top style="thin">
        <color theme="0" tint="-0.24994659260841701"/>
      </top>
      <bottom style="medium">
        <color indexed="64"/>
      </bottom>
      <diagonal/>
    </border>
    <border>
      <left style="thin">
        <color theme="0" tint="-0.24994659260841701"/>
      </left>
      <right style="medium">
        <color indexed="64"/>
      </right>
      <top style="thin">
        <color theme="0" tint="-0.24994659260841701"/>
      </top>
      <bottom style="medium">
        <color indexed="64"/>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right style="thin">
        <color theme="0" tint="-0.14993743705557422"/>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style="thin">
        <color theme="0" tint="-0.14990691854609822"/>
      </left>
      <right style="thin">
        <color theme="0" tint="-0.14990691854609822"/>
      </right>
      <top style="thin">
        <color theme="0" tint="-0.14990691854609822"/>
      </top>
      <bottom/>
      <diagonal/>
    </border>
    <border>
      <left style="thin">
        <color theme="0" tint="-0.14990691854609822"/>
      </left>
      <right style="thin">
        <color theme="0" tint="-0.14990691854609822"/>
      </right>
      <top/>
      <bottom/>
      <diagonal/>
    </border>
    <border>
      <left style="thin">
        <color theme="0" tint="-0.14990691854609822"/>
      </left>
      <right style="thin">
        <color theme="0" tint="-0.14990691854609822"/>
      </right>
      <top/>
      <bottom style="thin">
        <color theme="0" tint="-0.149906918546098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0" tint="-0.14990691854609822"/>
      </left>
      <right/>
      <top style="thin">
        <color theme="0" tint="-0.14993743705557422"/>
      </top>
      <bottom style="thin">
        <color theme="0" tint="-0.14993743705557422"/>
      </bottom>
      <diagonal/>
    </border>
  </borders>
  <cellStyleXfs count="1">
    <xf numFmtId="0" fontId="0" fillId="0" borderId="0"/>
  </cellStyleXfs>
  <cellXfs count="86">
    <xf numFmtId="0" fontId="0" fillId="0" borderId="0" xfId="0"/>
    <xf numFmtId="0" fontId="1" fillId="0" borderId="0" xfId="0" applyFont="1" applyAlignment="1">
      <alignment horizontal="left" vertical="center"/>
    </xf>
    <xf numFmtId="4" fontId="1" fillId="0" borderId="0" xfId="0" applyNumberFormat="1" applyFont="1" applyAlignment="1">
      <alignment horizontal="center" vertical="center"/>
    </xf>
    <xf numFmtId="4" fontId="3" fillId="0" borderId="0" xfId="0" applyNumberFormat="1" applyFont="1" applyAlignment="1">
      <alignment horizontal="center" vertical="center"/>
    </xf>
    <xf numFmtId="4" fontId="4" fillId="0" borderId="0" xfId="0" applyNumberFormat="1" applyFont="1" applyAlignment="1">
      <alignment horizontal="center" vertical="center"/>
    </xf>
    <xf numFmtId="0" fontId="4" fillId="0" borderId="0" xfId="0" applyFont="1" applyAlignment="1">
      <alignment horizontal="left" vertical="center"/>
    </xf>
    <xf numFmtId="4" fontId="1" fillId="0" borderId="0" xfId="0" applyNumberFormat="1" applyFont="1" applyAlignment="1">
      <alignment horizontal="right" vertical="center"/>
    </xf>
    <xf numFmtId="164" fontId="1" fillId="0" borderId="0" xfId="0" applyNumberFormat="1" applyFont="1" applyAlignment="1">
      <alignment horizontal="left" vertical="center"/>
    </xf>
    <xf numFmtId="4" fontId="8" fillId="0" borderId="0" xfId="0" applyNumberFormat="1" applyFont="1" applyAlignment="1">
      <alignment vertical="center"/>
    </xf>
    <xf numFmtId="0" fontId="1" fillId="0" borderId="1" xfId="0" applyFont="1" applyBorder="1" applyAlignment="1">
      <alignment horizontal="left" vertical="center"/>
    </xf>
    <xf numFmtId="4" fontId="1" fillId="0" borderId="1" xfId="0" applyNumberFormat="1" applyFont="1" applyBorder="1" applyAlignment="1">
      <alignment horizontal="center" vertical="center"/>
    </xf>
    <xf numFmtId="4" fontId="3" fillId="0" borderId="1" xfId="0" applyNumberFormat="1" applyFont="1" applyBorder="1" applyAlignment="1">
      <alignment horizontal="center" vertical="center"/>
    </xf>
    <xf numFmtId="0" fontId="1" fillId="2" borderId="1" xfId="0" applyFont="1" applyFill="1" applyBorder="1" applyAlignment="1">
      <alignment horizontal="left" vertical="center"/>
    </xf>
    <xf numFmtId="4" fontId="1" fillId="2" borderId="1" xfId="0" applyNumberFormat="1" applyFont="1" applyFill="1" applyBorder="1" applyAlignment="1">
      <alignment horizontal="center" vertical="center"/>
    </xf>
    <xf numFmtId="0" fontId="1" fillId="0" borderId="2" xfId="0" applyFont="1" applyBorder="1" applyAlignment="1">
      <alignment horizontal="left" vertical="center"/>
    </xf>
    <xf numFmtId="4" fontId="1" fillId="0" borderId="2" xfId="0" applyNumberFormat="1" applyFont="1" applyBorder="1" applyAlignment="1">
      <alignment horizontal="center" vertical="center"/>
    </xf>
    <xf numFmtId="4" fontId="4" fillId="0" borderId="2" xfId="0" applyNumberFormat="1" applyFont="1" applyBorder="1" applyAlignment="1">
      <alignment horizontal="center" vertical="center"/>
    </xf>
    <xf numFmtId="0" fontId="1" fillId="0" borderId="4" xfId="0" applyFont="1" applyBorder="1" applyAlignment="1">
      <alignment horizontal="left" vertical="center"/>
    </xf>
    <xf numFmtId="4" fontId="1" fillId="0" borderId="4" xfId="0" applyNumberFormat="1" applyFont="1" applyBorder="1" applyAlignment="1">
      <alignment horizontal="center" vertical="center"/>
    </xf>
    <xf numFmtId="4" fontId="1" fillId="0" borderId="5" xfId="0" applyNumberFormat="1" applyFont="1" applyBorder="1" applyAlignment="1">
      <alignment horizontal="center" vertical="center"/>
    </xf>
    <xf numFmtId="4" fontId="1" fillId="0" borderId="7" xfId="0" applyNumberFormat="1" applyFont="1" applyBorder="1" applyAlignment="1">
      <alignment horizontal="center" vertical="center"/>
    </xf>
    <xf numFmtId="4" fontId="3" fillId="0" borderId="9" xfId="0" applyNumberFormat="1" applyFont="1" applyBorder="1" applyAlignment="1">
      <alignment horizontal="center" vertical="center"/>
    </xf>
    <xf numFmtId="4" fontId="1" fillId="0" borderId="9" xfId="0" applyNumberFormat="1" applyFont="1" applyBorder="1" applyAlignment="1">
      <alignment horizontal="center" vertical="center"/>
    </xf>
    <xf numFmtId="4" fontId="3" fillId="0" borderId="10" xfId="0" applyNumberFormat="1" applyFont="1" applyBorder="1" applyAlignment="1">
      <alignment horizontal="center" vertical="center"/>
    </xf>
    <xf numFmtId="0" fontId="1" fillId="2" borderId="4" xfId="0" applyFont="1" applyFill="1" applyBorder="1" applyAlignment="1">
      <alignment horizontal="left" vertical="center"/>
    </xf>
    <xf numFmtId="4" fontId="1" fillId="2" borderId="4" xfId="0" applyNumberFormat="1" applyFont="1" applyFill="1" applyBorder="1" applyAlignment="1">
      <alignment horizontal="center" vertical="center"/>
    </xf>
    <xf numFmtId="4" fontId="1" fillId="2" borderId="5" xfId="0" applyNumberFormat="1" applyFont="1" applyFill="1" applyBorder="1" applyAlignment="1">
      <alignment horizontal="center" vertical="center"/>
    </xf>
    <xf numFmtId="4" fontId="1" fillId="2" borderId="7" xfId="0" applyNumberFormat="1" applyFont="1" applyFill="1" applyBorder="1" applyAlignment="1">
      <alignment horizontal="center" vertical="center"/>
    </xf>
    <xf numFmtId="4" fontId="3" fillId="2" borderId="9" xfId="0" applyNumberFormat="1" applyFont="1" applyFill="1" applyBorder="1" applyAlignment="1">
      <alignment horizontal="center" vertical="center"/>
    </xf>
    <xf numFmtId="4" fontId="1" fillId="2" borderId="9" xfId="0" applyNumberFormat="1" applyFont="1" applyFill="1" applyBorder="1" applyAlignment="1">
      <alignment horizontal="center" vertical="center"/>
    </xf>
    <xf numFmtId="4" fontId="3" fillId="2" borderId="10" xfId="0" applyNumberFormat="1" applyFont="1" applyFill="1" applyBorder="1" applyAlignment="1">
      <alignment horizontal="center" vertical="center"/>
    </xf>
    <xf numFmtId="4" fontId="4" fillId="0" borderId="11" xfId="0" applyNumberFormat="1" applyFont="1" applyBorder="1" applyAlignment="1">
      <alignment horizontal="center" vertical="center"/>
    </xf>
    <xf numFmtId="4" fontId="3" fillId="0" borderId="11" xfId="0" applyNumberFormat="1" applyFont="1" applyBorder="1" applyAlignment="1">
      <alignment horizontal="center" vertical="center"/>
    </xf>
    <xf numFmtId="4" fontId="3" fillId="0" borderId="12" xfId="0" applyNumberFormat="1" applyFont="1" applyBorder="1" applyAlignment="1">
      <alignment horizontal="center" vertical="center"/>
    </xf>
    <xf numFmtId="164" fontId="1" fillId="3" borderId="0" xfId="0" applyNumberFormat="1" applyFont="1" applyFill="1" applyAlignment="1">
      <alignment horizontal="left" vertical="center"/>
    </xf>
    <xf numFmtId="0" fontId="0" fillId="0" borderId="0" xfId="0" applyAlignment="1">
      <alignment horizontal="center" vertical="center"/>
    </xf>
    <xf numFmtId="4" fontId="0" fillId="0" borderId="0" xfId="0" applyNumberFormat="1"/>
    <xf numFmtId="0" fontId="1" fillId="0" borderId="18" xfId="0" applyFont="1" applyBorder="1" applyAlignment="1">
      <alignment horizontal="left" vertical="center"/>
    </xf>
    <xf numFmtId="4" fontId="1" fillId="0" borderId="18" xfId="0" applyNumberFormat="1" applyFont="1" applyBorder="1" applyAlignment="1">
      <alignment horizontal="center" vertical="center"/>
    </xf>
    <xf numFmtId="4" fontId="3" fillId="0" borderId="18" xfId="0" applyNumberFormat="1" applyFont="1" applyBorder="1" applyAlignment="1">
      <alignment horizontal="center" vertical="center"/>
    </xf>
    <xf numFmtId="4" fontId="1" fillId="2" borderId="18" xfId="0" applyNumberFormat="1" applyFont="1" applyFill="1" applyBorder="1" applyAlignment="1">
      <alignment horizontal="center" vertical="center"/>
    </xf>
    <xf numFmtId="4" fontId="3" fillId="2" borderId="18" xfId="0" applyNumberFormat="1" applyFont="1" applyFill="1" applyBorder="1" applyAlignment="1">
      <alignment horizontal="center" vertical="center"/>
    </xf>
    <xf numFmtId="0" fontId="1" fillId="2" borderId="18" xfId="0" applyFont="1" applyFill="1" applyBorder="1" applyAlignment="1">
      <alignment horizontal="left" vertical="center"/>
    </xf>
    <xf numFmtId="0" fontId="0" fillId="0" borderId="18" xfId="0" applyBorder="1" applyAlignment="1">
      <alignment horizontal="center" vertical="center"/>
    </xf>
    <xf numFmtId="4" fontId="0" fillId="0" borderId="18" xfId="0" applyNumberFormat="1" applyBorder="1" applyAlignment="1">
      <alignment horizontal="center" vertical="center"/>
    </xf>
    <xf numFmtId="0" fontId="0" fillId="0" borderId="18" xfId="0" applyBorder="1"/>
    <xf numFmtId="4" fontId="0" fillId="3" borderId="18" xfId="0" applyNumberFormat="1" applyFill="1" applyBorder="1"/>
    <xf numFmtId="4" fontId="0" fillId="0" borderId="18" xfId="0" applyNumberFormat="1" applyBorder="1"/>
    <xf numFmtId="0" fontId="1" fillId="0" borderId="0" xfId="0" applyFont="1" applyAlignment="1">
      <alignment horizontal="left" vertical="center" wrapText="1"/>
    </xf>
    <xf numFmtId="0" fontId="1" fillId="0" borderId="0" xfId="0" applyFont="1" applyAlignment="1">
      <alignment horizontal="left" vertical="center"/>
    </xf>
    <xf numFmtId="0" fontId="1" fillId="0" borderId="18" xfId="0" applyFont="1" applyBorder="1" applyAlignment="1">
      <alignment horizontal="left" vertical="center" wrapText="1"/>
    </xf>
    <xf numFmtId="0" fontId="3" fillId="0" borderId="18" xfId="0" applyFont="1" applyBorder="1" applyAlignment="1">
      <alignment horizontal="right" vertical="center"/>
    </xf>
    <xf numFmtId="0" fontId="1" fillId="2" borderId="18" xfId="0" applyFont="1" applyFill="1" applyBorder="1" applyAlignment="1">
      <alignment horizontal="left" vertical="center" wrapText="1"/>
    </xf>
    <xf numFmtId="0" fontId="3" fillId="2" borderId="18" xfId="0" applyFont="1" applyFill="1" applyBorder="1" applyAlignment="1">
      <alignment horizontal="right" vertical="center"/>
    </xf>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1" fillId="0" borderId="14" xfId="0" applyFont="1" applyBorder="1" applyAlignment="1">
      <alignment horizontal="left" vertical="center"/>
    </xf>
    <xf numFmtId="0" fontId="1" fillId="0" borderId="13" xfId="0" applyFont="1" applyBorder="1" applyAlignment="1">
      <alignment horizontal="left" vertical="center"/>
    </xf>
    <xf numFmtId="4" fontId="1" fillId="0" borderId="14" xfId="0" applyNumberFormat="1" applyFont="1" applyBorder="1" applyAlignment="1">
      <alignment horizontal="left" vertical="center"/>
    </xf>
    <xf numFmtId="4" fontId="1" fillId="0" borderId="13" xfId="0" applyNumberFormat="1" applyFont="1" applyBorder="1" applyAlignment="1">
      <alignment horizontal="left" vertical="center"/>
    </xf>
    <xf numFmtId="0" fontId="7" fillId="0" borderId="0" xfId="0" applyFont="1" applyAlignment="1">
      <alignment horizontal="left" vertical="center"/>
    </xf>
    <xf numFmtId="4" fontId="1" fillId="0" borderId="0" xfId="0" applyNumberFormat="1" applyFont="1" applyAlignment="1">
      <alignment horizontal="left" vertical="center"/>
    </xf>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18" xfId="0" applyFont="1" applyBorder="1" applyAlignment="1">
      <alignment horizontal="left" vertical="center"/>
    </xf>
    <xf numFmtId="0" fontId="0" fillId="0" borderId="18" xfId="0" applyBorder="1" applyAlignment="1">
      <alignment horizontal="left" vertical="center"/>
    </xf>
    <xf numFmtId="0" fontId="0" fillId="0" borderId="18" xfId="0" applyBorder="1" applyAlignment="1">
      <alignment horizontal="center" vertical="center"/>
    </xf>
    <xf numFmtId="0" fontId="1" fillId="0" borderId="6" xfId="0" applyFont="1" applyBorder="1" applyAlignment="1">
      <alignment horizontal="left" vertical="center" wrapText="1"/>
    </xf>
    <xf numFmtId="0" fontId="1" fillId="0" borderId="8" xfId="0" applyFont="1" applyBorder="1" applyAlignment="1">
      <alignment horizontal="left" vertical="center" wrapText="1"/>
    </xf>
    <xf numFmtId="0" fontId="3" fillId="0" borderId="9" xfId="0" applyFont="1" applyBorder="1" applyAlignment="1">
      <alignment horizontal="right" vertical="center"/>
    </xf>
    <xf numFmtId="0" fontId="1" fillId="2" borderId="6" xfId="0" applyFont="1" applyFill="1" applyBorder="1" applyAlignment="1">
      <alignment horizontal="left" vertical="center" wrapText="1"/>
    </xf>
    <xf numFmtId="0" fontId="1" fillId="2" borderId="8" xfId="0" applyFont="1" applyFill="1" applyBorder="1" applyAlignment="1">
      <alignment horizontal="left" vertical="center" wrapText="1"/>
    </xf>
    <xf numFmtId="0" fontId="3" fillId="2" borderId="9" xfId="0" applyFont="1" applyFill="1" applyBorder="1" applyAlignment="1">
      <alignment horizontal="right" vertical="center"/>
    </xf>
    <xf numFmtId="0" fontId="1" fillId="0" borderId="3" xfId="0" applyFont="1" applyBorder="1" applyAlignment="1">
      <alignment horizontal="left" vertical="center" wrapText="1"/>
    </xf>
    <xf numFmtId="0" fontId="1" fillId="2" borderId="3" xfId="0" applyFont="1" applyFill="1" applyBorder="1" applyAlignment="1">
      <alignment horizontal="left" vertical="center" wrapText="1"/>
    </xf>
    <xf numFmtId="0" fontId="1" fillId="0" borderId="3" xfId="0" applyFont="1" applyBorder="1" applyAlignment="1">
      <alignment horizontal="left" vertical="center"/>
    </xf>
    <xf numFmtId="0" fontId="1" fillId="0" borderId="6" xfId="0" applyFont="1" applyBorder="1" applyAlignment="1">
      <alignment horizontal="left" vertical="center"/>
    </xf>
    <xf numFmtId="0" fontId="1" fillId="0" borderId="8" xfId="0" applyFont="1" applyBorder="1" applyAlignment="1">
      <alignment horizontal="left" vertical="center"/>
    </xf>
    <xf numFmtId="0" fontId="3" fillId="0" borderId="19" xfId="0" applyFont="1" applyBorder="1" applyAlignment="1">
      <alignment horizontal="right" vertical="center"/>
    </xf>
    <xf numFmtId="0" fontId="3" fillId="0" borderId="20" xfId="0" applyFont="1" applyBorder="1" applyAlignment="1">
      <alignment horizontal="right" vertical="center"/>
    </xf>
    <xf numFmtId="0" fontId="3" fillId="0" borderId="21" xfId="0" applyFont="1" applyBorder="1" applyAlignment="1">
      <alignment horizontal="right" vertical="center"/>
    </xf>
    <xf numFmtId="0" fontId="1" fillId="0" borderId="22" xfId="0" applyFont="1" applyBorder="1" applyAlignment="1">
      <alignment horizontal="left" vertical="center" wrapText="1"/>
    </xf>
    <xf numFmtId="0" fontId="1" fillId="0" borderId="23" xfId="0" applyFont="1" applyBorder="1" applyAlignment="1">
      <alignment horizontal="left" vertical="center" wrapText="1"/>
    </xf>
    <xf numFmtId="0" fontId="1" fillId="0" borderId="24" xfId="0" applyFont="1" applyBorder="1" applyAlignment="1">
      <alignment horizontal="left" vertical="center" wrapText="1"/>
    </xf>
    <xf numFmtId="4" fontId="1" fillId="0" borderId="25" xfId="0" applyNumberFormat="1"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xdr:col>
      <xdr:colOff>171450</xdr:colOff>
      <xdr:row>5</xdr:row>
      <xdr:rowOff>114300</xdr:rowOff>
    </xdr:from>
    <xdr:ext cx="634854" cy="252120"/>
    <mc:AlternateContent xmlns:mc="http://schemas.openxmlformats.org/markup-compatibility/2006" xmlns:a14="http://schemas.microsoft.com/office/drawing/2010/main">
      <mc:Choice Requires="a14">
        <xdr:sp macro="" textlink="">
          <xdr:nvSpPr>
            <xdr:cNvPr id="2" name="Metin kutusu 1">
              <a:extLst>
                <a:ext uri="{FF2B5EF4-FFF2-40B4-BE49-F238E27FC236}">
                  <a16:creationId xmlns:a16="http://schemas.microsoft.com/office/drawing/2014/main" id="{D2802EBF-3AF2-220E-F93B-0F74A017D8F7}"/>
                </a:ext>
              </a:extLst>
            </xdr:cNvPr>
            <xdr:cNvSpPr txBox="1"/>
          </xdr:nvSpPr>
          <xdr:spPr>
            <a:xfrm>
              <a:off x="4276725" y="2514600"/>
              <a:ext cx="634854" cy="252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tr-TR" sz="800" b="0" i="1">
                        <a:latin typeface="Cambria Math" panose="02040503050406030204" pitchFamily="18" charset="0"/>
                      </a:rPr>
                      <m:t>𝑃</m:t>
                    </m:r>
                    <m:r>
                      <a:rPr lang="tr-TR" sz="800" b="0" i="1">
                        <a:latin typeface="Cambria Math" panose="02040503050406030204" pitchFamily="18" charset="0"/>
                      </a:rPr>
                      <m:t>=</m:t>
                    </m:r>
                    <m:f>
                      <m:fPr>
                        <m:ctrlPr>
                          <a:rPr lang="tr-TR" sz="800" b="0" i="1">
                            <a:latin typeface="Cambria Math" panose="02040503050406030204" pitchFamily="18" charset="0"/>
                          </a:rPr>
                        </m:ctrlPr>
                      </m:fPr>
                      <m:num>
                        <m:r>
                          <a:rPr lang="tr-TR" sz="800" b="0" i="1">
                            <a:latin typeface="Cambria Math" panose="02040503050406030204" pitchFamily="18" charset="0"/>
                          </a:rPr>
                          <m:t>𝐶𝑎𝑝𝑎𝑐𝑖𝑡𝑦</m:t>
                        </m:r>
                      </m:num>
                      <m:den>
                        <m:r>
                          <a:rPr lang="en-US" sz="800" b="0" i="1">
                            <a:latin typeface="Cambria Math" panose="02040503050406030204" pitchFamily="18" charset="0"/>
                            <a:ea typeface="Cambria Math" panose="02040503050406030204" pitchFamily="18" charset="0"/>
                          </a:rPr>
                          <m:t>𝜂</m:t>
                        </m:r>
                      </m:den>
                    </m:f>
                  </m:oMath>
                </m:oMathPara>
              </a14:m>
              <a:endParaRPr lang="en-US" sz="800"/>
            </a:p>
          </xdr:txBody>
        </xdr:sp>
      </mc:Choice>
      <mc:Fallback xmlns="">
        <xdr:sp macro="" textlink="">
          <xdr:nvSpPr>
            <xdr:cNvPr id="2" name="Metin kutusu 1">
              <a:extLst>
                <a:ext uri="{FF2B5EF4-FFF2-40B4-BE49-F238E27FC236}">
                  <a16:creationId xmlns:a16="http://schemas.microsoft.com/office/drawing/2014/main" id="{D2802EBF-3AF2-220E-F93B-0F74A017D8F7}"/>
                </a:ext>
              </a:extLst>
            </xdr:cNvPr>
            <xdr:cNvSpPr txBox="1"/>
          </xdr:nvSpPr>
          <xdr:spPr>
            <a:xfrm>
              <a:off x="4276725" y="2514600"/>
              <a:ext cx="634854" cy="252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tr-TR" sz="800" b="0" i="0">
                  <a:latin typeface="Cambria Math" panose="02040503050406030204" pitchFamily="18" charset="0"/>
                </a:rPr>
                <a:t>𝑃=𝐶𝑎𝑝𝑎𝑐𝑖𝑡𝑦</a:t>
              </a:r>
              <a:r>
                <a:rPr lang="en-US" sz="800" b="0" i="0">
                  <a:latin typeface="Cambria Math" panose="02040503050406030204" pitchFamily="18" charset="0"/>
                </a:rPr>
                <a:t>/</a:t>
              </a:r>
              <a:r>
                <a:rPr lang="en-US" sz="800" b="0" i="0">
                  <a:latin typeface="Cambria Math" panose="02040503050406030204" pitchFamily="18" charset="0"/>
                  <a:ea typeface="Cambria Math" panose="02040503050406030204" pitchFamily="18" charset="0"/>
                </a:rPr>
                <a:t>𝜂</a:t>
              </a:r>
              <a:endParaRPr lang="en-US" sz="800"/>
            </a:p>
          </xdr:txBody>
        </xdr:sp>
      </mc:Fallback>
    </mc:AlternateContent>
    <xdr:clientData/>
  </xdr:oneCellAnchor>
  <xdr:oneCellAnchor>
    <xdr:from>
      <xdr:col>7</xdr:col>
      <xdr:colOff>247650</xdr:colOff>
      <xdr:row>5</xdr:row>
      <xdr:rowOff>104775</xdr:rowOff>
    </xdr:from>
    <xdr:ext cx="433965" cy="251223"/>
    <mc:AlternateContent xmlns:mc="http://schemas.openxmlformats.org/markup-compatibility/2006" xmlns:a14="http://schemas.microsoft.com/office/drawing/2010/main">
      <mc:Choice Requires="a14">
        <xdr:sp macro="" textlink="">
          <xdr:nvSpPr>
            <xdr:cNvPr id="3" name="Metin kutusu 2">
              <a:extLst>
                <a:ext uri="{FF2B5EF4-FFF2-40B4-BE49-F238E27FC236}">
                  <a16:creationId xmlns:a16="http://schemas.microsoft.com/office/drawing/2014/main" id="{7CB1F70E-129A-D9F5-B658-30D4F6045848}"/>
                </a:ext>
              </a:extLst>
            </xdr:cNvPr>
            <xdr:cNvSpPr txBox="1"/>
          </xdr:nvSpPr>
          <xdr:spPr>
            <a:xfrm>
              <a:off x="6315075" y="2505075"/>
              <a:ext cx="433965" cy="2512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tr-TR" sz="800" b="0" i="1">
                        <a:latin typeface="Cambria Math" panose="02040503050406030204" pitchFamily="18" charset="0"/>
                      </a:rPr>
                      <m:t>𝑆</m:t>
                    </m:r>
                    <m:r>
                      <a:rPr lang="tr-TR" sz="800" b="0" i="1">
                        <a:latin typeface="Cambria Math" panose="02040503050406030204" pitchFamily="18" charset="0"/>
                      </a:rPr>
                      <m:t>=</m:t>
                    </m:r>
                    <m:f>
                      <m:fPr>
                        <m:ctrlPr>
                          <a:rPr lang="tr-TR" sz="800" b="0" i="1">
                            <a:latin typeface="Cambria Math" panose="02040503050406030204" pitchFamily="18" charset="0"/>
                          </a:rPr>
                        </m:ctrlPr>
                      </m:fPr>
                      <m:num>
                        <m:r>
                          <a:rPr lang="tr-TR" sz="800" b="0" i="1">
                            <a:latin typeface="Cambria Math" panose="02040503050406030204" pitchFamily="18" charset="0"/>
                          </a:rPr>
                          <m:t>𝑃</m:t>
                        </m:r>
                      </m:num>
                      <m:den>
                        <m:r>
                          <a:rPr lang="tr-TR" sz="800" b="0" i="1">
                            <a:latin typeface="Cambria Math" panose="02040503050406030204" pitchFamily="18" charset="0"/>
                          </a:rPr>
                          <m:t>𝑐𝑜𝑠</m:t>
                        </m:r>
                        <m:r>
                          <a:rPr lang="tr-TR" sz="800" b="0" i="1">
                            <a:latin typeface="Cambria Math" panose="02040503050406030204" pitchFamily="18" charset="0"/>
                            <a:ea typeface="Cambria Math" panose="02040503050406030204" pitchFamily="18" charset="0"/>
                          </a:rPr>
                          <m:t>𝜑</m:t>
                        </m:r>
                      </m:den>
                    </m:f>
                  </m:oMath>
                </m:oMathPara>
              </a14:m>
              <a:endParaRPr lang="en-US" sz="800"/>
            </a:p>
          </xdr:txBody>
        </xdr:sp>
      </mc:Choice>
      <mc:Fallback xmlns="">
        <xdr:sp macro="" textlink="">
          <xdr:nvSpPr>
            <xdr:cNvPr id="3" name="Metin kutusu 2">
              <a:extLst>
                <a:ext uri="{FF2B5EF4-FFF2-40B4-BE49-F238E27FC236}">
                  <a16:creationId xmlns:a16="http://schemas.microsoft.com/office/drawing/2014/main" id="{7CB1F70E-129A-D9F5-B658-30D4F6045848}"/>
                </a:ext>
              </a:extLst>
            </xdr:cNvPr>
            <xdr:cNvSpPr txBox="1"/>
          </xdr:nvSpPr>
          <xdr:spPr>
            <a:xfrm>
              <a:off x="6315075" y="2505075"/>
              <a:ext cx="433965" cy="2512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tr-TR" sz="800" b="0" i="0">
                  <a:latin typeface="Cambria Math" panose="02040503050406030204" pitchFamily="18" charset="0"/>
                </a:rPr>
                <a:t>𝑆=𝑃</a:t>
              </a:r>
              <a:r>
                <a:rPr lang="en-US" sz="800" b="0" i="0">
                  <a:latin typeface="Cambria Math" panose="02040503050406030204" pitchFamily="18" charset="0"/>
                </a:rPr>
                <a:t>/</a:t>
              </a:r>
              <a:r>
                <a:rPr lang="tr-TR" sz="800" b="0" i="0">
                  <a:latin typeface="Cambria Math" panose="02040503050406030204" pitchFamily="18" charset="0"/>
                </a:rPr>
                <a:t>𝑐𝑜𝑠</a:t>
              </a:r>
              <a:r>
                <a:rPr lang="tr-TR" sz="800" b="0" i="0">
                  <a:latin typeface="Cambria Math" panose="02040503050406030204" pitchFamily="18" charset="0"/>
                  <a:ea typeface="Cambria Math" panose="02040503050406030204" pitchFamily="18" charset="0"/>
                </a:rPr>
                <a:t>𝜑</a:t>
              </a:r>
              <a:endParaRPr lang="en-US" sz="800"/>
            </a:p>
          </xdr:txBody>
        </xdr:sp>
      </mc:Fallback>
    </mc:AlternateContent>
    <xdr:clientData/>
  </xdr:oneCellAnchor>
  <xdr:oneCellAnchor>
    <xdr:from>
      <xdr:col>6</xdr:col>
      <xdr:colOff>152400</xdr:colOff>
      <xdr:row>5</xdr:row>
      <xdr:rowOff>142875</xdr:rowOff>
    </xdr:from>
    <xdr:ext cx="733598" cy="151388"/>
    <mc:AlternateContent xmlns:mc="http://schemas.openxmlformats.org/markup-compatibility/2006" xmlns:a14="http://schemas.microsoft.com/office/drawing/2010/main">
      <mc:Choice Requires="a14">
        <xdr:sp macro="" textlink="">
          <xdr:nvSpPr>
            <xdr:cNvPr id="4" name="Metin kutusu 3">
              <a:extLst>
                <a:ext uri="{FF2B5EF4-FFF2-40B4-BE49-F238E27FC236}">
                  <a16:creationId xmlns:a16="http://schemas.microsoft.com/office/drawing/2014/main" id="{D580D431-3F04-8D42-A357-0C2D4CCC00F7}"/>
                </a:ext>
              </a:extLst>
            </xdr:cNvPr>
            <xdr:cNvSpPr txBox="1"/>
          </xdr:nvSpPr>
          <xdr:spPr>
            <a:xfrm>
              <a:off x="5238750" y="2543175"/>
              <a:ext cx="733598" cy="151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tr-TR" sz="800" b="0" i="1">
                        <a:latin typeface="Cambria Math" panose="02040503050406030204" pitchFamily="18" charset="0"/>
                      </a:rPr>
                      <m:t>𝑄</m:t>
                    </m:r>
                    <m:r>
                      <a:rPr lang="tr-TR" sz="800" b="0" i="1">
                        <a:latin typeface="Cambria Math" panose="02040503050406030204" pitchFamily="18" charset="0"/>
                      </a:rPr>
                      <m:t>=</m:t>
                    </m:r>
                    <m:rad>
                      <m:radPr>
                        <m:degHide m:val="on"/>
                        <m:ctrlPr>
                          <a:rPr lang="en-US" sz="800" b="0" i="1">
                            <a:latin typeface="Cambria Math" panose="02040503050406030204" pitchFamily="18" charset="0"/>
                          </a:rPr>
                        </m:ctrlPr>
                      </m:radPr>
                      <m:deg/>
                      <m:e>
                        <m:r>
                          <a:rPr lang="tr-TR" sz="800" b="0" i="1">
                            <a:latin typeface="Cambria Math" panose="02040503050406030204" pitchFamily="18" charset="0"/>
                          </a:rPr>
                          <m:t>(</m:t>
                        </m:r>
                        <m:sSup>
                          <m:sSupPr>
                            <m:ctrlPr>
                              <a:rPr lang="tr-TR" sz="800" b="0" i="1">
                                <a:latin typeface="Cambria Math" panose="02040503050406030204" pitchFamily="18" charset="0"/>
                              </a:rPr>
                            </m:ctrlPr>
                          </m:sSupPr>
                          <m:e>
                            <m:r>
                              <a:rPr lang="tr-TR" sz="800" b="0" i="1">
                                <a:latin typeface="Cambria Math" panose="02040503050406030204" pitchFamily="18" charset="0"/>
                              </a:rPr>
                              <m:t>𝑆</m:t>
                            </m:r>
                          </m:e>
                          <m:sup>
                            <m:r>
                              <a:rPr lang="tr-TR" sz="800" b="0" i="1">
                                <a:latin typeface="Cambria Math" panose="02040503050406030204" pitchFamily="18" charset="0"/>
                              </a:rPr>
                              <m:t>2</m:t>
                            </m:r>
                          </m:sup>
                        </m:sSup>
                        <m:r>
                          <a:rPr lang="tr-TR" sz="800" b="0" i="1">
                            <a:latin typeface="Cambria Math" panose="02040503050406030204" pitchFamily="18" charset="0"/>
                          </a:rPr>
                          <m:t>−</m:t>
                        </m:r>
                        <m:sSup>
                          <m:sSupPr>
                            <m:ctrlPr>
                              <a:rPr lang="tr-TR" sz="800" b="0" i="1">
                                <a:latin typeface="Cambria Math" panose="02040503050406030204" pitchFamily="18" charset="0"/>
                              </a:rPr>
                            </m:ctrlPr>
                          </m:sSupPr>
                          <m:e>
                            <m:r>
                              <a:rPr lang="tr-TR" sz="800" b="0" i="1">
                                <a:latin typeface="Cambria Math" panose="02040503050406030204" pitchFamily="18" charset="0"/>
                              </a:rPr>
                              <m:t>𝑃</m:t>
                            </m:r>
                          </m:e>
                          <m:sup>
                            <m:r>
                              <a:rPr lang="tr-TR" sz="800" b="0" i="1">
                                <a:latin typeface="Cambria Math" panose="02040503050406030204" pitchFamily="18" charset="0"/>
                              </a:rPr>
                              <m:t>2</m:t>
                            </m:r>
                          </m:sup>
                        </m:sSup>
                        <m:r>
                          <a:rPr lang="tr-TR" sz="800" b="0" i="1">
                            <a:latin typeface="Cambria Math" panose="02040503050406030204" pitchFamily="18" charset="0"/>
                          </a:rPr>
                          <m:t>)</m:t>
                        </m:r>
                      </m:e>
                    </m:rad>
                  </m:oMath>
                </m:oMathPara>
              </a14:m>
              <a:endParaRPr lang="en-US" sz="800"/>
            </a:p>
          </xdr:txBody>
        </xdr:sp>
      </mc:Choice>
      <mc:Fallback xmlns="">
        <xdr:sp macro="" textlink="">
          <xdr:nvSpPr>
            <xdr:cNvPr id="4" name="Metin kutusu 3">
              <a:extLst>
                <a:ext uri="{FF2B5EF4-FFF2-40B4-BE49-F238E27FC236}">
                  <a16:creationId xmlns:a16="http://schemas.microsoft.com/office/drawing/2014/main" id="{D580D431-3F04-8D42-A357-0C2D4CCC00F7}"/>
                </a:ext>
              </a:extLst>
            </xdr:cNvPr>
            <xdr:cNvSpPr txBox="1"/>
          </xdr:nvSpPr>
          <xdr:spPr>
            <a:xfrm>
              <a:off x="5238750" y="2543175"/>
              <a:ext cx="733598" cy="151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tr-TR" sz="800" b="0" i="0">
                  <a:latin typeface="Cambria Math" panose="02040503050406030204" pitchFamily="18" charset="0"/>
                </a:rPr>
                <a:t>𝑄=</a:t>
              </a:r>
              <a:r>
                <a:rPr lang="en-US" sz="800" b="0" i="0">
                  <a:latin typeface="Cambria Math" panose="02040503050406030204" pitchFamily="18" charset="0"/>
                </a:rPr>
                <a:t>√(</a:t>
              </a:r>
              <a:r>
                <a:rPr lang="tr-TR" sz="800" b="0" i="0">
                  <a:latin typeface="Cambria Math" panose="02040503050406030204" pitchFamily="18" charset="0"/>
                </a:rPr>
                <a:t>(𝑆</a:t>
              </a:r>
              <a:r>
                <a:rPr lang="en-US" sz="800" b="0" i="0">
                  <a:latin typeface="Cambria Math" panose="02040503050406030204" pitchFamily="18" charset="0"/>
                </a:rPr>
                <a:t>^</a:t>
              </a:r>
              <a:r>
                <a:rPr lang="tr-TR" sz="800" b="0" i="0">
                  <a:latin typeface="Cambria Math" panose="02040503050406030204" pitchFamily="18" charset="0"/>
                </a:rPr>
                <a:t>2−𝑃</a:t>
              </a:r>
              <a:r>
                <a:rPr lang="en-US" sz="800" b="0" i="0">
                  <a:latin typeface="Cambria Math" panose="02040503050406030204" pitchFamily="18" charset="0"/>
                </a:rPr>
                <a:t>^</a:t>
              </a:r>
              <a:r>
                <a:rPr lang="tr-TR" sz="800" b="0" i="0">
                  <a:latin typeface="Cambria Math" panose="02040503050406030204" pitchFamily="18" charset="0"/>
                </a:rPr>
                <a:t>2)</a:t>
              </a:r>
              <a:r>
                <a:rPr lang="en-US" sz="800" b="0" i="0">
                  <a:latin typeface="Cambria Math" panose="02040503050406030204" pitchFamily="18" charset="0"/>
                </a:rPr>
                <a:t>)</a:t>
              </a:r>
              <a:endParaRPr lang="en-US" sz="800"/>
            </a:p>
          </xdr:txBody>
        </xdr:sp>
      </mc:Fallback>
    </mc:AlternateContent>
    <xdr:clientData/>
  </xdr:oneCellAnchor>
  <xdr:oneCellAnchor>
    <xdr:from>
      <xdr:col>9</xdr:col>
      <xdr:colOff>38100</xdr:colOff>
      <xdr:row>5</xdr:row>
      <xdr:rowOff>95250</xdr:rowOff>
    </xdr:from>
    <xdr:ext cx="899412" cy="266548"/>
    <mc:AlternateContent xmlns:mc="http://schemas.openxmlformats.org/markup-compatibility/2006" xmlns:a14="http://schemas.microsoft.com/office/drawing/2010/main">
      <mc:Choice Requires="a14">
        <xdr:sp macro="" textlink="">
          <xdr:nvSpPr>
            <xdr:cNvPr id="5" name="Metin kutusu 4">
              <a:extLst>
                <a:ext uri="{FF2B5EF4-FFF2-40B4-BE49-F238E27FC236}">
                  <a16:creationId xmlns:a16="http://schemas.microsoft.com/office/drawing/2014/main" id="{C1A0DA0F-3570-9449-77CF-3D5AA17B0773}"/>
                </a:ext>
              </a:extLst>
            </xdr:cNvPr>
            <xdr:cNvSpPr txBox="1"/>
          </xdr:nvSpPr>
          <xdr:spPr>
            <a:xfrm>
              <a:off x="7086600" y="2495550"/>
              <a:ext cx="899412" cy="2665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tr-TR" sz="800" b="0" i="1">
                            <a:latin typeface="Cambria Math" panose="02040503050406030204" pitchFamily="18" charset="0"/>
                          </a:rPr>
                        </m:ctrlPr>
                      </m:sSubPr>
                      <m:e>
                        <m:r>
                          <a:rPr lang="tr-TR" sz="800" b="0" i="1">
                            <a:latin typeface="Cambria Math" panose="02040503050406030204" pitchFamily="18" charset="0"/>
                          </a:rPr>
                          <m:t>𝐼</m:t>
                        </m:r>
                      </m:e>
                      <m:sub>
                        <m:r>
                          <a:rPr lang="tr-TR" sz="800" b="0" i="1">
                            <a:latin typeface="Cambria Math" panose="02040503050406030204" pitchFamily="18" charset="0"/>
                          </a:rPr>
                          <m:t>𝑛</m:t>
                        </m:r>
                      </m:sub>
                    </m:sSub>
                    <m:r>
                      <a:rPr lang="tr-TR" sz="800" b="0" i="1">
                        <a:latin typeface="Cambria Math" panose="02040503050406030204" pitchFamily="18" charset="0"/>
                      </a:rPr>
                      <m:t>=</m:t>
                    </m:r>
                    <m:f>
                      <m:fPr>
                        <m:ctrlPr>
                          <a:rPr lang="tr-TR" sz="800" b="0" i="1">
                            <a:latin typeface="Cambria Math" panose="02040503050406030204" pitchFamily="18" charset="0"/>
                          </a:rPr>
                        </m:ctrlPr>
                      </m:fPr>
                      <m:num>
                        <m:r>
                          <a:rPr lang="tr-TR" sz="800" b="0" i="1">
                            <a:latin typeface="Cambria Math" panose="02040503050406030204" pitchFamily="18" charset="0"/>
                          </a:rPr>
                          <m:t>𝑃</m:t>
                        </m:r>
                      </m:num>
                      <m:den>
                        <m:r>
                          <a:rPr lang="tr-TR" sz="800" b="0" i="1">
                            <a:latin typeface="Cambria Math" panose="02040503050406030204" pitchFamily="18" charset="0"/>
                          </a:rPr>
                          <m:t>𝑈</m:t>
                        </m:r>
                        <m:r>
                          <a:rPr lang="tr-TR" sz="800" b="0" i="1">
                            <a:latin typeface="Cambria Math" panose="02040503050406030204" pitchFamily="18" charset="0"/>
                            <a:ea typeface="Cambria Math" panose="02040503050406030204" pitchFamily="18" charset="0"/>
                          </a:rPr>
                          <m:t>×</m:t>
                        </m:r>
                        <m:rad>
                          <m:radPr>
                            <m:degHide m:val="on"/>
                            <m:ctrlPr>
                              <a:rPr lang="en-US" sz="800" b="0" i="1">
                                <a:latin typeface="Cambria Math" panose="02040503050406030204" pitchFamily="18" charset="0"/>
                                <a:ea typeface="Cambria Math" panose="02040503050406030204" pitchFamily="18" charset="0"/>
                              </a:rPr>
                            </m:ctrlPr>
                          </m:radPr>
                          <m:deg/>
                          <m:e>
                            <m:r>
                              <a:rPr lang="tr-TR" sz="800" b="0" i="1">
                                <a:latin typeface="Cambria Math" panose="02040503050406030204" pitchFamily="18" charset="0"/>
                                <a:ea typeface="Cambria Math" panose="02040503050406030204" pitchFamily="18" charset="0"/>
                              </a:rPr>
                              <m:t>3</m:t>
                            </m:r>
                          </m:e>
                        </m:rad>
                        <m:r>
                          <a:rPr lang="en-US" sz="800" b="0" i="1">
                            <a:latin typeface="Cambria Math" panose="02040503050406030204" pitchFamily="18" charset="0"/>
                            <a:ea typeface="Cambria Math" panose="02040503050406030204" pitchFamily="18" charset="0"/>
                          </a:rPr>
                          <m:t>×</m:t>
                        </m:r>
                        <m:r>
                          <a:rPr lang="tr-TR" sz="800" b="0" i="1">
                            <a:latin typeface="Cambria Math" panose="02040503050406030204" pitchFamily="18" charset="0"/>
                            <a:ea typeface="Cambria Math" panose="02040503050406030204" pitchFamily="18" charset="0"/>
                          </a:rPr>
                          <m:t>𝑐𝑜𝑠</m:t>
                        </m:r>
                        <m:r>
                          <a:rPr lang="tr-TR" sz="800" b="0" i="1">
                            <a:latin typeface="Cambria Math" panose="02040503050406030204" pitchFamily="18" charset="0"/>
                            <a:ea typeface="Cambria Math" panose="02040503050406030204" pitchFamily="18" charset="0"/>
                          </a:rPr>
                          <m:t>𝜑</m:t>
                        </m:r>
                      </m:den>
                    </m:f>
                  </m:oMath>
                </m:oMathPara>
              </a14:m>
              <a:endParaRPr lang="en-US" sz="800"/>
            </a:p>
          </xdr:txBody>
        </xdr:sp>
      </mc:Choice>
      <mc:Fallback xmlns="">
        <xdr:sp macro="" textlink="">
          <xdr:nvSpPr>
            <xdr:cNvPr id="5" name="Metin kutusu 4">
              <a:extLst>
                <a:ext uri="{FF2B5EF4-FFF2-40B4-BE49-F238E27FC236}">
                  <a16:creationId xmlns:a16="http://schemas.microsoft.com/office/drawing/2014/main" id="{C1A0DA0F-3570-9449-77CF-3D5AA17B0773}"/>
                </a:ext>
              </a:extLst>
            </xdr:cNvPr>
            <xdr:cNvSpPr txBox="1"/>
          </xdr:nvSpPr>
          <xdr:spPr>
            <a:xfrm>
              <a:off x="7086600" y="2495550"/>
              <a:ext cx="899412" cy="2665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tr-TR" sz="800" b="0" i="0">
                  <a:latin typeface="Cambria Math" panose="02040503050406030204" pitchFamily="18" charset="0"/>
                </a:rPr>
                <a:t>𝐼</a:t>
              </a:r>
              <a:r>
                <a:rPr lang="en-US" sz="800" b="0" i="0">
                  <a:latin typeface="Cambria Math" panose="02040503050406030204" pitchFamily="18" charset="0"/>
                </a:rPr>
                <a:t>_</a:t>
              </a:r>
              <a:r>
                <a:rPr lang="tr-TR" sz="800" b="0" i="0">
                  <a:latin typeface="Cambria Math" panose="02040503050406030204" pitchFamily="18" charset="0"/>
                </a:rPr>
                <a:t>𝑛=𝑃</a:t>
              </a:r>
              <a:r>
                <a:rPr lang="en-US" sz="800" b="0" i="0">
                  <a:latin typeface="Cambria Math" panose="02040503050406030204" pitchFamily="18" charset="0"/>
                </a:rPr>
                <a:t>/(</a:t>
              </a:r>
              <a:r>
                <a:rPr lang="tr-TR" sz="800" b="0" i="0">
                  <a:latin typeface="Cambria Math" panose="02040503050406030204" pitchFamily="18" charset="0"/>
                </a:rPr>
                <a:t>𝑈</a:t>
              </a:r>
              <a:r>
                <a:rPr lang="tr-TR" sz="800" b="0" i="0">
                  <a:latin typeface="Cambria Math" panose="02040503050406030204" pitchFamily="18" charset="0"/>
                  <a:ea typeface="Cambria Math" panose="02040503050406030204" pitchFamily="18" charset="0"/>
                </a:rPr>
                <a:t>×</a:t>
              </a:r>
              <a:r>
                <a:rPr lang="en-US" sz="800" b="0" i="0">
                  <a:latin typeface="Cambria Math" panose="02040503050406030204" pitchFamily="18" charset="0"/>
                  <a:ea typeface="Cambria Math" panose="02040503050406030204" pitchFamily="18" charset="0"/>
                </a:rPr>
                <a:t>√</a:t>
              </a:r>
              <a:r>
                <a:rPr lang="tr-TR" sz="800" b="0" i="0">
                  <a:latin typeface="Cambria Math" panose="02040503050406030204" pitchFamily="18" charset="0"/>
                  <a:ea typeface="Cambria Math" panose="02040503050406030204" pitchFamily="18" charset="0"/>
                </a:rPr>
                <a:t>3</a:t>
              </a:r>
              <a:r>
                <a:rPr lang="en-US" sz="800" b="0" i="0">
                  <a:latin typeface="Cambria Math" panose="02040503050406030204" pitchFamily="18" charset="0"/>
                  <a:ea typeface="Cambria Math" panose="02040503050406030204" pitchFamily="18" charset="0"/>
                </a:rPr>
                <a:t>×</a:t>
              </a:r>
              <a:r>
                <a:rPr lang="tr-TR" sz="800" b="0" i="0">
                  <a:latin typeface="Cambria Math" panose="02040503050406030204" pitchFamily="18" charset="0"/>
                  <a:ea typeface="Cambria Math" panose="02040503050406030204" pitchFamily="18" charset="0"/>
                </a:rPr>
                <a:t>𝑐𝑜𝑠𝜑</a:t>
              </a:r>
              <a:r>
                <a:rPr lang="en-US" sz="800" b="0" i="0">
                  <a:latin typeface="Cambria Math" panose="02040503050406030204" pitchFamily="18" charset="0"/>
                  <a:ea typeface="Cambria Math" panose="02040503050406030204" pitchFamily="18" charset="0"/>
                </a:rPr>
                <a:t>)</a:t>
              </a:r>
              <a:endParaRPr lang="en-US" sz="800"/>
            </a:p>
          </xdr:txBody>
        </xdr:sp>
      </mc:Fallback>
    </mc:AlternateContent>
    <xdr:clientData/>
  </xdr:oneCellAnchor>
  <xdr:oneCellAnchor>
    <xdr:from>
      <xdr:col>0</xdr:col>
      <xdr:colOff>0</xdr:colOff>
      <xdr:row>0</xdr:row>
      <xdr:rowOff>0</xdr:rowOff>
    </xdr:from>
    <xdr:ext cx="5775299" cy="593239"/>
    <xdr:sp macro="" textlink="">
      <xdr:nvSpPr>
        <xdr:cNvPr id="6" name="Dikdörtgen 5">
          <a:extLst>
            <a:ext uri="{FF2B5EF4-FFF2-40B4-BE49-F238E27FC236}">
              <a16:creationId xmlns:a16="http://schemas.microsoft.com/office/drawing/2014/main" id="{E23C5120-1A74-1E15-6C78-9C11AE5CDE6A}"/>
            </a:ext>
          </a:extLst>
        </xdr:cNvPr>
        <xdr:cNvSpPr/>
      </xdr:nvSpPr>
      <xdr:spPr>
        <a:xfrm>
          <a:off x="0" y="0"/>
          <a:ext cx="5775299" cy="593239"/>
        </a:xfrm>
        <a:prstGeom prst="rect">
          <a:avLst/>
        </a:prstGeom>
        <a:noFill/>
      </xdr:spPr>
      <xdr:txBody>
        <a:bodyPr wrap="none" lIns="91440" tIns="45720" rIns="91440" bIns="45720">
          <a:spAutoFit/>
        </a:bodyPr>
        <a:lstStyle/>
        <a:p>
          <a:pPr algn="ctr"/>
          <a:r>
            <a:rPr lang="tr-TR" sz="32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ptos Display" panose="020B0004020202020204" pitchFamily="34" charset="0"/>
            </a:rPr>
            <a:t>Anma Akımı Hesaplama Raporu </a:t>
          </a:r>
        </a:p>
      </xdr:txBody>
    </xdr:sp>
    <xdr:clientData/>
  </xdr:oneCellAnchor>
  <xdr:twoCellAnchor editAs="oneCell">
    <xdr:from>
      <xdr:col>8</xdr:col>
      <xdr:colOff>542925</xdr:colOff>
      <xdr:row>0</xdr:row>
      <xdr:rowOff>76201</xdr:rowOff>
    </xdr:from>
    <xdr:to>
      <xdr:col>9</xdr:col>
      <xdr:colOff>854977</xdr:colOff>
      <xdr:row>0</xdr:row>
      <xdr:rowOff>537265</xdr:rowOff>
    </xdr:to>
    <xdr:pic>
      <xdr:nvPicPr>
        <xdr:cNvPr id="8" name="Resim 7">
          <a:extLst>
            <a:ext uri="{FF2B5EF4-FFF2-40B4-BE49-F238E27FC236}">
              <a16:creationId xmlns:a16="http://schemas.microsoft.com/office/drawing/2014/main" id="{76E013B5-17C9-9AED-A947-F09901C471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67775" y="76201"/>
          <a:ext cx="1293127" cy="461064"/>
        </a:xfrm>
        <a:prstGeom prst="rect">
          <a:avLst/>
        </a:prstGeom>
      </xdr:spPr>
    </xdr:pic>
    <xdr:clientData/>
  </xdr:twoCellAnchor>
  <xdr:twoCellAnchor>
    <xdr:from>
      <xdr:col>1</xdr:col>
      <xdr:colOff>923925</xdr:colOff>
      <xdr:row>3</xdr:row>
      <xdr:rowOff>161925</xdr:rowOff>
    </xdr:from>
    <xdr:to>
      <xdr:col>4</xdr:col>
      <xdr:colOff>504825</xdr:colOff>
      <xdr:row>4</xdr:row>
      <xdr:rowOff>1097100</xdr:rowOff>
    </xdr:to>
    <xdr:grpSp>
      <xdr:nvGrpSpPr>
        <xdr:cNvPr id="29" name="Grup 28">
          <a:extLst>
            <a:ext uri="{FF2B5EF4-FFF2-40B4-BE49-F238E27FC236}">
              <a16:creationId xmlns:a16="http://schemas.microsoft.com/office/drawing/2014/main" id="{21D2A875-0AC0-1596-E2DC-00DDBDD8B204}"/>
            </a:ext>
          </a:extLst>
        </xdr:cNvPr>
        <xdr:cNvGrpSpPr/>
      </xdr:nvGrpSpPr>
      <xdr:grpSpPr>
        <a:xfrm>
          <a:off x="1724025" y="4267200"/>
          <a:ext cx="3009900" cy="1106625"/>
          <a:chOff x="962025" y="4191000"/>
          <a:chExt cx="3009900" cy="1106625"/>
        </a:xfrm>
      </xdr:grpSpPr>
      <xdr:sp macro="" textlink="">
        <xdr:nvSpPr>
          <xdr:cNvPr id="9" name="Metin kutusu 8">
            <a:extLst>
              <a:ext uri="{FF2B5EF4-FFF2-40B4-BE49-F238E27FC236}">
                <a16:creationId xmlns:a16="http://schemas.microsoft.com/office/drawing/2014/main" id="{74C8B3D8-3BD4-1DDD-C9CB-B3686DC159C4}"/>
              </a:ext>
            </a:extLst>
          </xdr:cNvPr>
          <xdr:cNvSpPr txBox="1"/>
        </xdr:nvSpPr>
        <xdr:spPr>
          <a:xfrm>
            <a:off x="962025" y="4505325"/>
            <a:ext cx="1219200" cy="523875"/>
          </a:xfrm>
          <a:prstGeom prst="rect">
            <a:avLst/>
          </a:prstGeom>
          <a:gradFill>
            <a:gsLst>
              <a:gs pos="0">
                <a:schemeClr val="accent5">
                  <a:lumMod val="20000"/>
                  <a:lumOff val="80000"/>
                </a:schemeClr>
              </a:gs>
              <a:gs pos="100000">
                <a:schemeClr val="lt1">
                  <a:shade val="100000"/>
                  <a:satMod val="115000"/>
                </a:schemeClr>
              </a:gs>
            </a:gsLst>
            <a:path path="circle">
              <a:fillToRect t="100000" r="100000"/>
            </a:path>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1100"/>
              <a:t>BAŞLAT</a:t>
            </a:r>
            <a:endParaRPr lang="en-US" sz="1100"/>
          </a:p>
        </xdr:txBody>
      </xdr:sp>
      <xdr:grpSp>
        <xdr:nvGrpSpPr>
          <xdr:cNvPr id="16" name="Grup 15">
            <a:extLst>
              <a:ext uri="{FF2B5EF4-FFF2-40B4-BE49-F238E27FC236}">
                <a16:creationId xmlns:a16="http://schemas.microsoft.com/office/drawing/2014/main" id="{C295FFA9-ECE7-D63B-0B9D-7ED2BC8E361A}"/>
              </a:ext>
            </a:extLst>
          </xdr:cNvPr>
          <xdr:cNvGrpSpPr/>
        </xdr:nvGrpSpPr>
        <xdr:grpSpPr>
          <a:xfrm>
            <a:off x="2752725" y="4191000"/>
            <a:ext cx="1219200" cy="1106625"/>
            <a:chOff x="2628900" y="4162425"/>
            <a:chExt cx="1219200" cy="1106625"/>
          </a:xfrm>
        </xdr:grpSpPr>
        <xdr:sp macro="" textlink="">
          <xdr:nvSpPr>
            <xdr:cNvPr id="10" name="Metin kutusu 9">
              <a:extLst>
                <a:ext uri="{FF2B5EF4-FFF2-40B4-BE49-F238E27FC236}">
                  <a16:creationId xmlns:a16="http://schemas.microsoft.com/office/drawing/2014/main" id="{46EDA980-0D5D-46DC-A4B4-4D1677771B8D}"/>
                </a:ext>
              </a:extLst>
            </xdr:cNvPr>
            <xdr:cNvSpPr txBox="1"/>
          </xdr:nvSpPr>
          <xdr:spPr>
            <a:xfrm>
              <a:off x="2628900" y="4162425"/>
              <a:ext cx="1219200" cy="523875"/>
            </a:xfrm>
            <a:prstGeom prst="rect">
              <a:avLst/>
            </a:prstGeom>
            <a:gradFill flip="none" rotWithShape="1">
              <a:gsLst>
                <a:gs pos="0">
                  <a:schemeClr val="accent1">
                    <a:lumMod val="20000"/>
                    <a:lumOff val="80000"/>
                  </a:schemeClr>
                </a:gs>
                <a:gs pos="100000">
                  <a:schemeClr val="lt1">
                    <a:shade val="100000"/>
                    <a:satMod val="115000"/>
                  </a:schemeClr>
                </a:gs>
              </a:gsLst>
              <a:path path="circle">
                <a:fillToRect t="100000" r="100000"/>
              </a:path>
              <a:tileRect l="-100000" b="-100000"/>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1000"/>
                <a:t>YIKAMA (Otomatik)</a:t>
              </a:r>
              <a:endParaRPr lang="en-US" sz="1000"/>
            </a:p>
          </xdr:txBody>
        </xdr:sp>
        <xdr:sp macro="" textlink="">
          <xdr:nvSpPr>
            <xdr:cNvPr id="11" name="Metin kutusu 10">
              <a:extLst>
                <a:ext uri="{FF2B5EF4-FFF2-40B4-BE49-F238E27FC236}">
                  <a16:creationId xmlns:a16="http://schemas.microsoft.com/office/drawing/2014/main" id="{C7AAFEB0-A5D8-4911-9836-1D4192F206EA}"/>
                </a:ext>
              </a:extLst>
            </xdr:cNvPr>
            <xdr:cNvSpPr txBox="1"/>
          </xdr:nvSpPr>
          <xdr:spPr>
            <a:xfrm>
              <a:off x="2628900" y="4743450"/>
              <a:ext cx="1219200" cy="525600"/>
            </a:xfrm>
            <a:prstGeom prst="rect">
              <a:avLst/>
            </a:prstGeom>
            <a:gradFill>
              <a:gsLst>
                <a:gs pos="0">
                  <a:schemeClr val="accent6">
                    <a:lumMod val="60000"/>
                    <a:lumOff val="40000"/>
                  </a:schemeClr>
                </a:gs>
                <a:gs pos="100000">
                  <a:schemeClr val="lt1">
                    <a:shade val="100000"/>
                    <a:satMod val="115000"/>
                  </a:schemeClr>
                </a:gs>
              </a:gsLst>
              <a:path path="circle">
                <a:fillToRect t="100000" r="100000"/>
              </a:path>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1000"/>
                <a:t>YIKAMA( Manuel )</a:t>
              </a:r>
              <a:endParaRPr lang="en-US" sz="1000"/>
            </a:p>
          </xdr:txBody>
        </xdr:sp>
      </xdr:grpSp>
      <xdr:cxnSp macro="">
        <xdr:nvCxnSpPr>
          <xdr:cNvPr id="18" name="Düz Ok Bağlayıcısı 17">
            <a:extLst>
              <a:ext uri="{FF2B5EF4-FFF2-40B4-BE49-F238E27FC236}">
                <a16:creationId xmlns:a16="http://schemas.microsoft.com/office/drawing/2014/main" id="{1F07338B-EFAF-44AB-2D48-3CA05B675FC6}"/>
              </a:ext>
            </a:extLst>
          </xdr:cNvPr>
          <xdr:cNvCxnSpPr>
            <a:stCxn id="9" idx="3"/>
            <a:endCxn id="10" idx="1"/>
          </xdr:cNvCxnSpPr>
        </xdr:nvCxnSpPr>
        <xdr:spPr>
          <a:xfrm flipV="1">
            <a:off x="2181225" y="4452938"/>
            <a:ext cx="571500" cy="3143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Düz Ok Bağlayıcısı 19">
            <a:extLst>
              <a:ext uri="{FF2B5EF4-FFF2-40B4-BE49-F238E27FC236}">
                <a16:creationId xmlns:a16="http://schemas.microsoft.com/office/drawing/2014/main" id="{B1407630-E8BC-DD7D-830E-74E7FD89F8B7}"/>
              </a:ext>
            </a:extLst>
          </xdr:cNvPr>
          <xdr:cNvCxnSpPr>
            <a:stCxn id="9" idx="3"/>
            <a:endCxn id="11" idx="1"/>
          </xdr:cNvCxnSpPr>
        </xdr:nvCxnSpPr>
        <xdr:spPr>
          <a:xfrm>
            <a:off x="2181225" y="4767263"/>
            <a:ext cx="571500" cy="26756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wsDr>
</file>

<file path=xl/drawings/drawing2.xml><?xml version="1.0" encoding="utf-8"?>
<xdr:wsDr xmlns:xdr="http://schemas.openxmlformats.org/drawingml/2006/spreadsheetDrawing" xmlns:a="http://schemas.openxmlformats.org/drawingml/2006/main">
  <xdr:oneCellAnchor>
    <xdr:from>
      <xdr:col>5</xdr:col>
      <xdr:colOff>171450</xdr:colOff>
      <xdr:row>5</xdr:row>
      <xdr:rowOff>114300</xdr:rowOff>
    </xdr:from>
    <xdr:ext cx="634854" cy="252120"/>
    <mc:AlternateContent xmlns:mc="http://schemas.openxmlformats.org/markup-compatibility/2006" xmlns:a14="http://schemas.microsoft.com/office/drawing/2010/main">
      <mc:Choice Requires="a14">
        <xdr:sp macro="" textlink="">
          <xdr:nvSpPr>
            <xdr:cNvPr id="2" name="Metin kutusu 1">
              <a:extLst>
                <a:ext uri="{FF2B5EF4-FFF2-40B4-BE49-F238E27FC236}">
                  <a16:creationId xmlns:a16="http://schemas.microsoft.com/office/drawing/2014/main" id="{FBBDB512-CDF7-4BBA-B0C6-39378BA4E45B}"/>
                </a:ext>
              </a:extLst>
            </xdr:cNvPr>
            <xdr:cNvSpPr txBox="1"/>
          </xdr:nvSpPr>
          <xdr:spPr>
            <a:xfrm>
              <a:off x="5467350" y="5695950"/>
              <a:ext cx="634854" cy="252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tr-TR" sz="800" b="0" i="1">
                        <a:latin typeface="Cambria Math" panose="02040503050406030204" pitchFamily="18" charset="0"/>
                      </a:rPr>
                      <m:t>𝑃</m:t>
                    </m:r>
                    <m:r>
                      <a:rPr lang="tr-TR" sz="800" b="0" i="1">
                        <a:latin typeface="Cambria Math" panose="02040503050406030204" pitchFamily="18" charset="0"/>
                      </a:rPr>
                      <m:t>=</m:t>
                    </m:r>
                    <m:f>
                      <m:fPr>
                        <m:ctrlPr>
                          <a:rPr lang="tr-TR" sz="800" b="0" i="1">
                            <a:latin typeface="Cambria Math" panose="02040503050406030204" pitchFamily="18" charset="0"/>
                          </a:rPr>
                        </m:ctrlPr>
                      </m:fPr>
                      <m:num>
                        <m:r>
                          <a:rPr lang="tr-TR" sz="800" b="0" i="1">
                            <a:latin typeface="Cambria Math" panose="02040503050406030204" pitchFamily="18" charset="0"/>
                          </a:rPr>
                          <m:t>𝐶𝑎𝑝𝑎𝑐𝑖𝑡𝑦</m:t>
                        </m:r>
                      </m:num>
                      <m:den>
                        <m:r>
                          <a:rPr lang="en-US" sz="800" b="0" i="1">
                            <a:latin typeface="Cambria Math" panose="02040503050406030204" pitchFamily="18" charset="0"/>
                            <a:ea typeface="Cambria Math" panose="02040503050406030204" pitchFamily="18" charset="0"/>
                          </a:rPr>
                          <m:t>𝜂</m:t>
                        </m:r>
                      </m:den>
                    </m:f>
                  </m:oMath>
                </m:oMathPara>
              </a14:m>
              <a:endParaRPr lang="en-US" sz="800"/>
            </a:p>
          </xdr:txBody>
        </xdr:sp>
      </mc:Choice>
      <mc:Fallback xmlns="">
        <xdr:sp macro="" textlink="">
          <xdr:nvSpPr>
            <xdr:cNvPr id="2" name="Metin kutusu 1">
              <a:extLst>
                <a:ext uri="{FF2B5EF4-FFF2-40B4-BE49-F238E27FC236}">
                  <a16:creationId xmlns:a16="http://schemas.microsoft.com/office/drawing/2014/main" id="{FBBDB512-CDF7-4BBA-B0C6-39378BA4E45B}"/>
                </a:ext>
              </a:extLst>
            </xdr:cNvPr>
            <xdr:cNvSpPr txBox="1"/>
          </xdr:nvSpPr>
          <xdr:spPr>
            <a:xfrm>
              <a:off x="5467350" y="5695950"/>
              <a:ext cx="634854" cy="252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tr-TR" sz="800" b="0" i="0">
                  <a:latin typeface="Cambria Math" panose="02040503050406030204" pitchFamily="18" charset="0"/>
                </a:rPr>
                <a:t>𝑃=𝐶𝑎𝑝𝑎𝑐𝑖𝑡𝑦</a:t>
              </a:r>
              <a:r>
                <a:rPr lang="en-US" sz="800" b="0" i="0">
                  <a:latin typeface="Cambria Math" panose="02040503050406030204" pitchFamily="18" charset="0"/>
                </a:rPr>
                <a:t>/</a:t>
              </a:r>
              <a:r>
                <a:rPr lang="en-US" sz="800" b="0" i="0">
                  <a:latin typeface="Cambria Math" panose="02040503050406030204" pitchFamily="18" charset="0"/>
                  <a:ea typeface="Cambria Math" panose="02040503050406030204" pitchFamily="18" charset="0"/>
                </a:rPr>
                <a:t>𝜂</a:t>
              </a:r>
              <a:endParaRPr lang="en-US" sz="800"/>
            </a:p>
          </xdr:txBody>
        </xdr:sp>
      </mc:Fallback>
    </mc:AlternateContent>
    <xdr:clientData/>
  </xdr:oneCellAnchor>
  <xdr:oneCellAnchor>
    <xdr:from>
      <xdr:col>7</xdr:col>
      <xdr:colOff>247650</xdr:colOff>
      <xdr:row>5</xdr:row>
      <xdr:rowOff>104775</xdr:rowOff>
    </xdr:from>
    <xdr:ext cx="433965" cy="251223"/>
    <mc:AlternateContent xmlns:mc="http://schemas.openxmlformats.org/markup-compatibility/2006" xmlns:a14="http://schemas.microsoft.com/office/drawing/2010/main">
      <mc:Choice Requires="a14">
        <xdr:sp macro="" textlink="">
          <xdr:nvSpPr>
            <xdr:cNvPr id="3" name="Metin kutusu 2">
              <a:extLst>
                <a:ext uri="{FF2B5EF4-FFF2-40B4-BE49-F238E27FC236}">
                  <a16:creationId xmlns:a16="http://schemas.microsoft.com/office/drawing/2014/main" id="{82BDD981-0021-43FD-9F3A-BA58ED1029CB}"/>
                </a:ext>
              </a:extLst>
            </xdr:cNvPr>
            <xdr:cNvSpPr txBox="1"/>
          </xdr:nvSpPr>
          <xdr:spPr>
            <a:xfrm>
              <a:off x="7505700" y="5686425"/>
              <a:ext cx="433965" cy="2512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tr-TR" sz="800" b="0" i="1">
                        <a:latin typeface="Cambria Math" panose="02040503050406030204" pitchFamily="18" charset="0"/>
                      </a:rPr>
                      <m:t>𝑆</m:t>
                    </m:r>
                    <m:r>
                      <a:rPr lang="tr-TR" sz="800" b="0" i="1">
                        <a:latin typeface="Cambria Math" panose="02040503050406030204" pitchFamily="18" charset="0"/>
                      </a:rPr>
                      <m:t>=</m:t>
                    </m:r>
                    <m:f>
                      <m:fPr>
                        <m:ctrlPr>
                          <a:rPr lang="tr-TR" sz="800" b="0" i="1">
                            <a:latin typeface="Cambria Math" panose="02040503050406030204" pitchFamily="18" charset="0"/>
                          </a:rPr>
                        </m:ctrlPr>
                      </m:fPr>
                      <m:num>
                        <m:r>
                          <a:rPr lang="tr-TR" sz="800" b="0" i="1">
                            <a:latin typeface="Cambria Math" panose="02040503050406030204" pitchFamily="18" charset="0"/>
                          </a:rPr>
                          <m:t>𝑃</m:t>
                        </m:r>
                      </m:num>
                      <m:den>
                        <m:r>
                          <a:rPr lang="tr-TR" sz="800" b="0" i="1">
                            <a:latin typeface="Cambria Math" panose="02040503050406030204" pitchFamily="18" charset="0"/>
                          </a:rPr>
                          <m:t>𝑐𝑜𝑠</m:t>
                        </m:r>
                        <m:r>
                          <a:rPr lang="tr-TR" sz="800" b="0" i="1">
                            <a:latin typeface="Cambria Math" panose="02040503050406030204" pitchFamily="18" charset="0"/>
                            <a:ea typeface="Cambria Math" panose="02040503050406030204" pitchFamily="18" charset="0"/>
                          </a:rPr>
                          <m:t>𝜑</m:t>
                        </m:r>
                      </m:den>
                    </m:f>
                  </m:oMath>
                </m:oMathPara>
              </a14:m>
              <a:endParaRPr lang="en-US" sz="800"/>
            </a:p>
          </xdr:txBody>
        </xdr:sp>
      </mc:Choice>
      <mc:Fallback xmlns="">
        <xdr:sp macro="" textlink="">
          <xdr:nvSpPr>
            <xdr:cNvPr id="3" name="Metin kutusu 2">
              <a:extLst>
                <a:ext uri="{FF2B5EF4-FFF2-40B4-BE49-F238E27FC236}">
                  <a16:creationId xmlns:a16="http://schemas.microsoft.com/office/drawing/2014/main" id="{82BDD981-0021-43FD-9F3A-BA58ED1029CB}"/>
                </a:ext>
              </a:extLst>
            </xdr:cNvPr>
            <xdr:cNvSpPr txBox="1"/>
          </xdr:nvSpPr>
          <xdr:spPr>
            <a:xfrm>
              <a:off x="7505700" y="5686425"/>
              <a:ext cx="433965" cy="2512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tr-TR" sz="800" b="0" i="0">
                  <a:latin typeface="Cambria Math" panose="02040503050406030204" pitchFamily="18" charset="0"/>
                </a:rPr>
                <a:t>𝑆=𝑃</a:t>
              </a:r>
              <a:r>
                <a:rPr lang="en-US" sz="800" b="0" i="0">
                  <a:latin typeface="Cambria Math" panose="02040503050406030204" pitchFamily="18" charset="0"/>
                </a:rPr>
                <a:t>/</a:t>
              </a:r>
              <a:r>
                <a:rPr lang="tr-TR" sz="800" b="0" i="0">
                  <a:latin typeface="Cambria Math" panose="02040503050406030204" pitchFamily="18" charset="0"/>
                </a:rPr>
                <a:t>𝑐𝑜𝑠</a:t>
              </a:r>
              <a:r>
                <a:rPr lang="tr-TR" sz="800" b="0" i="0">
                  <a:latin typeface="Cambria Math" panose="02040503050406030204" pitchFamily="18" charset="0"/>
                  <a:ea typeface="Cambria Math" panose="02040503050406030204" pitchFamily="18" charset="0"/>
                </a:rPr>
                <a:t>𝜑</a:t>
              </a:r>
              <a:endParaRPr lang="en-US" sz="800"/>
            </a:p>
          </xdr:txBody>
        </xdr:sp>
      </mc:Fallback>
    </mc:AlternateContent>
    <xdr:clientData/>
  </xdr:oneCellAnchor>
  <xdr:oneCellAnchor>
    <xdr:from>
      <xdr:col>6</xdr:col>
      <xdr:colOff>152400</xdr:colOff>
      <xdr:row>5</xdr:row>
      <xdr:rowOff>142875</xdr:rowOff>
    </xdr:from>
    <xdr:ext cx="733598" cy="151388"/>
    <mc:AlternateContent xmlns:mc="http://schemas.openxmlformats.org/markup-compatibility/2006" xmlns:a14="http://schemas.microsoft.com/office/drawing/2010/main">
      <mc:Choice Requires="a14">
        <xdr:sp macro="" textlink="">
          <xdr:nvSpPr>
            <xdr:cNvPr id="4" name="Metin kutusu 3">
              <a:extLst>
                <a:ext uri="{FF2B5EF4-FFF2-40B4-BE49-F238E27FC236}">
                  <a16:creationId xmlns:a16="http://schemas.microsoft.com/office/drawing/2014/main" id="{5939F144-8B74-4AED-9927-98A86BCABDDE}"/>
                </a:ext>
              </a:extLst>
            </xdr:cNvPr>
            <xdr:cNvSpPr txBox="1"/>
          </xdr:nvSpPr>
          <xdr:spPr>
            <a:xfrm>
              <a:off x="6429375" y="5724525"/>
              <a:ext cx="733598" cy="151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tr-TR" sz="800" b="0" i="1">
                        <a:latin typeface="Cambria Math" panose="02040503050406030204" pitchFamily="18" charset="0"/>
                      </a:rPr>
                      <m:t>𝑄</m:t>
                    </m:r>
                    <m:r>
                      <a:rPr lang="tr-TR" sz="800" b="0" i="1">
                        <a:latin typeface="Cambria Math" panose="02040503050406030204" pitchFamily="18" charset="0"/>
                      </a:rPr>
                      <m:t>=</m:t>
                    </m:r>
                    <m:rad>
                      <m:radPr>
                        <m:degHide m:val="on"/>
                        <m:ctrlPr>
                          <a:rPr lang="en-US" sz="800" b="0" i="1">
                            <a:latin typeface="Cambria Math" panose="02040503050406030204" pitchFamily="18" charset="0"/>
                          </a:rPr>
                        </m:ctrlPr>
                      </m:radPr>
                      <m:deg/>
                      <m:e>
                        <m:r>
                          <a:rPr lang="tr-TR" sz="800" b="0" i="1">
                            <a:latin typeface="Cambria Math" panose="02040503050406030204" pitchFamily="18" charset="0"/>
                          </a:rPr>
                          <m:t>(</m:t>
                        </m:r>
                        <m:sSup>
                          <m:sSupPr>
                            <m:ctrlPr>
                              <a:rPr lang="tr-TR" sz="800" b="0" i="1">
                                <a:latin typeface="Cambria Math" panose="02040503050406030204" pitchFamily="18" charset="0"/>
                              </a:rPr>
                            </m:ctrlPr>
                          </m:sSupPr>
                          <m:e>
                            <m:r>
                              <a:rPr lang="tr-TR" sz="800" b="0" i="1">
                                <a:latin typeface="Cambria Math" panose="02040503050406030204" pitchFamily="18" charset="0"/>
                              </a:rPr>
                              <m:t>𝑆</m:t>
                            </m:r>
                          </m:e>
                          <m:sup>
                            <m:r>
                              <a:rPr lang="tr-TR" sz="800" b="0" i="1">
                                <a:latin typeface="Cambria Math" panose="02040503050406030204" pitchFamily="18" charset="0"/>
                              </a:rPr>
                              <m:t>2</m:t>
                            </m:r>
                          </m:sup>
                        </m:sSup>
                        <m:r>
                          <a:rPr lang="tr-TR" sz="800" b="0" i="1">
                            <a:latin typeface="Cambria Math" panose="02040503050406030204" pitchFamily="18" charset="0"/>
                          </a:rPr>
                          <m:t>−</m:t>
                        </m:r>
                        <m:sSup>
                          <m:sSupPr>
                            <m:ctrlPr>
                              <a:rPr lang="tr-TR" sz="800" b="0" i="1">
                                <a:latin typeface="Cambria Math" panose="02040503050406030204" pitchFamily="18" charset="0"/>
                              </a:rPr>
                            </m:ctrlPr>
                          </m:sSupPr>
                          <m:e>
                            <m:r>
                              <a:rPr lang="tr-TR" sz="800" b="0" i="1">
                                <a:latin typeface="Cambria Math" panose="02040503050406030204" pitchFamily="18" charset="0"/>
                              </a:rPr>
                              <m:t>𝑃</m:t>
                            </m:r>
                          </m:e>
                          <m:sup>
                            <m:r>
                              <a:rPr lang="tr-TR" sz="800" b="0" i="1">
                                <a:latin typeface="Cambria Math" panose="02040503050406030204" pitchFamily="18" charset="0"/>
                              </a:rPr>
                              <m:t>2</m:t>
                            </m:r>
                          </m:sup>
                        </m:sSup>
                        <m:r>
                          <a:rPr lang="tr-TR" sz="800" b="0" i="1">
                            <a:latin typeface="Cambria Math" panose="02040503050406030204" pitchFamily="18" charset="0"/>
                          </a:rPr>
                          <m:t>)</m:t>
                        </m:r>
                      </m:e>
                    </m:rad>
                  </m:oMath>
                </m:oMathPara>
              </a14:m>
              <a:endParaRPr lang="en-US" sz="800"/>
            </a:p>
          </xdr:txBody>
        </xdr:sp>
      </mc:Choice>
      <mc:Fallback xmlns="">
        <xdr:sp macro="" textlink="">
          <xdr:nvSpPr>
            <xdr:cNvPr id="4" name="Metin kutusu 3">
              <a:extLst>
                <a:ext uri="{FF2B5EF4-FFF2-40B4-BE49-F238E27FC236}">
                  <a16:creationId xmlns:a16="http://schemas.microsoft.com/office/drawing/2014/main" id="{5939F144-8B74-4AED-9927-98A86BCABDDE}"/>
                </a:ext>
              </a:extLst>
            </xdr:cNvPr>
            <xdr:cNvSpPr txBox="1"/>
          </xdr:nvSpPr>
          <xdr:spPr>
            <a:xfrm>
              <a:off x="6429375" y="5724525"/>
              <a:ext cx="733598" cy="151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tr-TR" sz="800" b="0" i="0">
                  <a:latin typeface="Cambria Math" panose="02040503050406030204" pitchFamily="18" charset="0"/>
                </a:rPr>
                <a:t>𝑄=</a:t>
              </a:r>
              <a:r>
                <a:rPr lang="en-US" sz="800" b="0" i="0">
                  <a:latin typeface="Cambria Math" panose="02040503050406030204" pitchFamily="18" charset="0"/>
                </a:rPr>
                <a:t>√(</a:t>
              </a:r>
              <a:r>
                <a:rPr lang="tr-TR" sz="800" b="0" i="0">
                  <a:latin typeface="Cambria Math" panose="02040503050406030204" pitchFamily="18" charset="0"/>
                </a:rPr>
                <a:t>(𝑆</a:t>
              </a:r>
              <a:r>
                <a:rPr lang="en-US" sz="800" b="0" i="0">
                  <a:latin typeface="Cambria Math" panose="02040503050406030204" pitchFamily="18" charset="0"/>
                </a:rPr>
                <a:t>^</a:t>
              </a:r>
              <a:r>
                <a:rPr lang="tr-TR" sz="800" b="0" i="0">
                  <a:latin typeface="Cambria Math" panose="02040503050406030204" pitchFamily="18" charset="0"/>
                </a:rPr>
                <a:t>2−𝑃</a:t>
              </a:r>
              <a:r>
                <a:rPr lang="en-US" sz="800" b="0" i="0">
                  <a:latin typeface="Cambria Math" panose="02040503050406030204" pitchFamily="18" charset="0"/>
                </a:rPr>
                <a:t>^</a:t>
              </a:r>
              <a:r>
                <a:rPr lang="tr-TR" sz="800" b="0" i="0">
                  <a:latin typeface="Cambria Math" panose="02040503050406030204" pitchFamily="18" charset="0"/>
                </a:rPr>
                <a:t>2)</a:t>
              </a:r>
              <a:r>
                <a:rPr lang="en-US" sz="800" b="0" i="0">
                  <a:latin typeface="Cambria Math" panose="02040503050406030204" pitchFamily="18" charset="0"/>
                </a:rPr>
                <a:t>)</a:t>
              </a:r>
              <a:endParaRPr lang="en-US" sz="800"/>
            </a:p>
          </xdr:txBody>
        </xdr:sp>
      </mc:Fallback>
    </mc:AlternateContent>
    <xdr:clientData/>
  </xdr:oneCellAnchor>
  <xdr:oneCellAnchor>
    <xdr:from>
      <xdr:col>9</xdr:col>
      <xdr:colOff>38100</xdr:colOff>
      <xdr:row>5</xdr:row>
      <xdr:rowOff>95250</xdr:rowOff>
    </xdr:from>
    <xdr:ext cx="899412" cy="266548"/>
    <mc:AlternateContent xmlns:mc="http://schemas.openxmlformats.org/markup-compatibility/2006" xmlns:a14="http://schemas.microsoft.com/office/drawing/2010/main">
      <mc:Choice Requires="a14">
        <xdr:sp macro="" textlink="">
          <xdr:nvSpPr>
            <xdr:cNvPr id="5" name="Metin kutusu 4">
              <a:extLst>
                <a:ext uri="{FF2B5EF4-FFF2-40B4-BE49-F238E27FC236}">
                  <a16:creationId xmlns:a16="http://schemas.microsoft.com/office/drawing/2014/main" id="{D749DEC6-AE87-4E4F-B451-17D3A9E4404C}"/>
                </a:ext>
              </a:extLst>
            </xdr:cNvPr>
            <xdr:cNvSpPr txBox="1"/>
          </xdr:nvSpPr>
          <xdr:spPr>
            <a:xfrm>
              <a:off x="9344025" y="5676900"/>
              <a:ext cx="899412" cy="2665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tr-TR" sz="800" b="0" i="1">
                            <a:latin typeface="Cambria Math" panose="02040503050406030204" pitchFamily="18" charset="0"/>
                          </a:rPr>
                        </m:ctrlPr>
                      </m:sSubPr>
                      <m:e>
                        <m:r>
                          <a:rPr lang="tr-TR" sz="800" b="0" i="1">
                            <a:latin typeface="Cambria Math" panose="02040503050406030204" pitchFamily="18" charset="0"/>
                          </a:rPr>
                          <m:t>𝐼</m:t>
                        </m:r>
                      </m:e>
                      <m:sub>
                        <m:r>
                          <a:rPr lang="tr-TR" sz="800" b="0" i="1">
                            <a:latin typeface="Cambria Math" panose="02040503050406030204" pitchFamily="18" charset="0"/>
                          </a:rPr>
                          <m:t>𝑛</m:t>
                        </m:r>
                      </m:sub>
                    </m:sSub>
                    <m:r>
                      <a:rPr lang="tr-TR" sz="800" b="0" i="1">
                        <a:latin typeface="Cambria Math" panose="02040503050406030204" pitchFamily="18" charset="0"/>
                      </a:rPr>
                      <m:t>=</m:t>
                    </m:r>
                    <m:f>
                      <m:fPr>
                        <m:ctrlPr>
                          <a:rPr lang="tr-TR" sz="800" b="0" i="1">
                            <a:latin typeface="Cambria Math" panose="02040503050406030204" pitchFamily="18" charset="0"/>
                          </a:rPr>
                        </m:ctrlPr>
                      </m:fPr>
                      <m:num>
                        <m:r>
                          <a:rPr lang="tr-TR" sz="800" b="0" i="1">
                            <a:latin typeface="Cambria Math" panose="02040503050406030204" pitchFamily="18" charset="0"/>
                          </a:rPr>
                          <m:t>𝑃</m:t>
                        </m:r>
                      </m:num>
                      <m:den>
                        <m:r>
                          <a:rPr lang="tr-TR" sz="800" b="0" i="1">
                            <a:latin typeface="Cambria Math" panose="02040503050406030204" pitchFamily="18" charset="0"/>
                          </a:rPr>
                          <m:t>𝑈</m:t>
                        </m:r>
                        <m:r>
                          <a:rPr lang="tr-TR" sz="800" b="0" i="1">
                            <a:latin typeface="Cambria Math" panose="02040503050406030204" pitchFamily="18" charset="0"/>
                            <a:ea typeface="Cambria Math" panose="02040503050406030204" pitchFamily="18" charset="0"/>
                          </a:rPr>
                          <m:t>×</m:t>
                        </m:r>
                        <m:rad>
                          <m:radPr>
                            <m:degHide m:val="on"/>
                            <m:ctrlPr>
                              <a:rPr lang="en-US" sz="800" b="0" i="1">
                                <a:latin typeface="Cambria Math" panose="02040503050406030204" pitchFamily="18" charset="0"/>
                                <a:ea typeface="Cambria Math" panose="02040503050406030204" pitchFamily="18" charset="0"/>
                              </a:rPr>
                            </m:ctrlPr>
                          </m:radPr>
                          <m:deg/>
                          <m:e>
                            <m:r>
                              <a:rPr lang="tr-TR" sz="800" b="0" i="1">
                                <a:latin typeface="Cambria Math" panose="02040503050406030204" pitchFamily="18" charset="0"/>
                                <a:ea typeface="Cambria Math" panose="02040503050406030204" pitchFamily="18" charset="0"/>
                              </a:rPr>
                              <m:t>3</m:t>
                            </m:r>
                          </m:e>
                        </m:rad>
                        <m:r>
                          <a:rPr lang="en-US" sz="800" b="0" i="1">
                            <a:latin typeface="Cambria Math" panose="02040503050406030204" pitchFamily="18" charset="0"/>
                            <a:ea typeface="Cambria Math" panose="02040503050406030204" pitchFamily="18" charset="0"/>
                          </a:rPr>
                          <m:t>×</m:t>
                        </m:r>
                        <m:r>
                          <a:rPr lang="tr-TR" sz="800" b="0" i="1">
                            <a:latin typeface="Cambria Math" panose="02040503050406030204" pitchFamily="18" charset="0"/>
                            <a:ea typeface="Cambria Math" panose="02040503050406030204" pitchFamily="18" charset="0"/>
                          </a:rPr>
                          <m:t>𝑐𝑜𝑠</m:t>
                        </m:r>
                        <m:r>
                          <a:rPr lang="tr-TR" sz="800" b="0" i="1">
                            <a:latin typeface="Cambria Math" panose="02040503050406030204" pitchFamily="18" charset="0"/>
                            <a:ea typeface="Cambria Math" panose="02040503050406030204" pitchFamily="18" charset="0"/>
                          </a:rPr>
                          <m:t>𝜑</m:t>
                        </m:r>
                      </m:den>
                    </m:f>
                  </m:oMath>
                </m:oMathPara>
              </a14:m>
              <a:endParaRPr lang="en-US" sz="800"/>
            </a:p>
          </xdr:txBody>
        </xdr:sp>
      </mc:Choice>
      <mc:Fallback xmlns="">
        <xdr:sp macro="" textlink="">
          <xdr:nvSpPr>
            <xdr:cNvPr id="5" name="Metin kutusu 4">
              <a:extLst>
                <a:ext uri="{FF2B5EF4-FFF2-40B4-BE49-F238E27FC236}">
                  <a16:creationId xmlns:a16="http://schemas.microsoft.com/office/drawing/2014/main" id="{D749DEC6-AE87-4E4F-B451-17D3A9E4404C}"/>
                </a:ext>
              </a:extLst>
            </xdr:cNvPr>
            <xdr:cNvSpPr txBox="1"/>
          </xdr:nvSpPr>
          <xdr:spPr>
            <a:xfrm>
              <a:off x="9344025" y="5676900"/>
              <a:ext cx="899412" cy="2665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tr-TR" sz="800" b="0" i="0">
                  <a:latin typeface="Cambria Math" panose="02040503050406030204" pitchFamily="18" charset="0"/>
                </a:rPr>
                <a:t>𝐼</a:t>
              </a:r>
              <a:r>
                <a:rPr lang="en-US" sz="800" b="0" i="0">
                  <a:latin typeface="Cambria Math" panose="02040503050406030204" pitchFamily="18" charset="0"/>
                </a:rPr>
                <a:t>_</a:t>
              </a:r>
              <a:r>
                <a:rPr lang="tr-TR" sz="800" b="0" i="0">
                  <a:latin typeface="Cambria Math" panose="02040503050406030204" pitchFamily="18" charset="0"/>
                </a:rPr>
                <a:t>𝑛=𝑃</a:t>
              </a:r>
              <a:r>
                <a:rPr lang="en-US" sz="800" b="0" i="0">
                  <a:latin typeface="Cambria Math" panose="02040503050406030204" pitchFamily="18" charset="0"/>
                </a:rPr>
                <a:t>/(</a:t>
              </a:r>
              <a:r>
                <a:rPr lang="tr-TR" sz="800" b="0" i="0">
                  <a:latin typeface="Cambria Math" panose="02040503050406030204" pitchFamily="18" charset="0"/>
                </a:rPr>
                <a:t>𝑈</a:t>
              </a:r>
              <a:r>
                <a:rPr lang="tr-TR" sz="800" b="0" i="0">
                  <a:latin typeface="Cambria Math" panose="02040503050406030204" pitchFamily="18" charset="0"/>
                  <a:ea typeface="Cambria Math" panose="02040503050406030204" pitchFamily="18" charset="0"/>
                </a:rPr>
                <a:t>×</a:t>
              </a:r>
              <a:r>
                <a:rPr lang="en-US" sz="800" b="0" i="0">
                  <a:latin typeface="Cambria Math" panose="02040503050406030204" pitchFamily="18" charset="0"/>
                  <a:ea typeface="Cambria Math" panose="02040503050406030204" pitchFamily="18" charset="0"/>
                </a:rPr>
                <a:t>√</a:t>
              </a:r>
              <a:r>
                <a:rPr lang="tr-TR" sz="800" b="0" i="0">
                  <a:latin typeface="Cambria Math" panose="02040503050406030204" pitchFamily="18" charset="0"/>
                  <a:ea typeface="Cambria Math" panose="02040503050406030204" pitchFamily="18" charset="0"/>
                </a:rPr>
                <a:t>3</a:t>
              </a:r>
              <a:r>
                <a:rPr lang="en-US" sz="800" b="0" i="0">
                  <a:latin typeface="Cambria Math" panose="02040503050406030204" pitchFamily="18" charset="0"/>
                  <a:ea typeface="Cambria Math" panose="02040503050406030204" pitchFamily="18" charset="0"/>
                </a:rPr>
                <a:t>×</a:t>
              </a:r>
              <a:r>
                <a:rPr lang="tr-TR" sz="800" b="0" i="0">
                  <a:latin typeface="Cambria Math" panose="02040503050406030204" pitchFamily="18" charset="0"/>
                  <a:ea typeface="Cambria Math" panose="02040503050406030204" pitchFamily="18" charset="0"/>
                </a:rPr>
                <a:t>𝑐𝑜𝑠𝜑</a:t>
              </a:r>
              <a:r>
                <a:rPr lang="en-US" sz="800" b="0" i="0">
                  <a:latin typeface="Cambria Math" panose="02040503050406030204" pitchFamily="18" charset="0"/>
                  <a:ea typeface="Cambria Math" panose="02040503050406030204" pitchFamily="18" charset="0"/>
                </a:rPr>
                <a:t>)</a:t>
              </a:r>
              <a:endParaRPr lang="en-US" sz="800"/>
            </a:p>
          </xdr:txBody>
        </xdr:sp>
      </mc:Fallback>
    </mc:AlternateContent>
    <xdr:clientData/>
  </xdr:oneCellAnchor>
  <xdr:oneCellAnchor>
    <xdr:from>
      <xdr:col>0</xdr:col>
      <xdr:colOff>0</xdr:colOff>
      <xdr:row>0</xdr:row>
      <xdr:rowOff>0</xdr:rowOff>
    </xdr:from>
    <xdr:ext cx="5775299" cy="593239"/>
    <xdr:sp macro="" textlink="">
      <xdr:nvSpPr>
        <xdr:cNvPr id="6" name="Dikdörtgen 5">
          <a:extLst>
            <a:ext uri="{FF2B5EF4-FFF2-40B4-BE49-F238E27FC236}">
              <a16:creationId xmlns:a16="http://schemas.microsoft.com/office/drawing/2014/main" id="{6D1A53CD-9DC5-4B16-97F2-E3ECE60F2F79}"/>
            </a:ext>
          </a:extLst>
        </xdr:cNvPr>
        <xdr:cNvSpPr/>
      </xdr:nvSpPr>
      <xdr:spPr>
        <a:xfrm>
          <a:off x="0" y="0"/>
          <a:ext cx="5775299" cy="593239"/>
        </a:xfrm>
        <a:prstGeom prst="rect">
          <a:avLst/>
        </a:prstGeom>
        <a:noFill/>
      </xdr:spPr>
      <xdr:txBody>
        <a:bodyPr wrap="none" lIns="91440" tIns="45720" rIns="91440" bIns="45720">
          <a:spAutoFit/>
        </a:bodyPr>
        <a:lstStyle/>
        <a:p>
          <a:pPr algn="ctr"/>
          <a:r>
            <a:rPr lang="tr-TR" sz="32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ptos Display" panose="020B0004020202020204" pitchFamily="34" charset="0"/>
            </a:rPr>
            <a:t>Anma Akımı Hesaplama Raporu </a:t>
          </a:r>
        </a:p>
      </xdr:txBody>
    </xdr:sp>
    <xdr:clientData/>
  </xdr:oneCellAnchor>
  <xdr:twoCellAnchor editAs="oneCell">
    <xdr:from>
      <xdr:col>8</xdr:col>
      <xdr:colOff>542925</xdr:colOff>
      <xdr:row>0</xdr:row>
      <xdr:rowOff>76201</xdr:rowOff>
    </xdr:from>
    <xdr:to>
      <xdr:col>9</xdr:col>
      <xdr:colOff>854977</xdr:colOff>
      <xdr:row>0</xdr:row>
      <xdr:rowOff>537265</xdr:rowOff>
    </xdr:to>
    <xdr:pic>
      <xdr:nvPicPr>
        <xdr:cNvPr id="7" name="Resim 6">
          <a:extLst>
            <a:ext uri="{FF2B5EF4-FFF2-40B4-BE49-F238E27FC236}">
              <a16:creationId xmlns:a16="http://schemas.microsoft.com/office/drawing/2014/main" id="{848FB987-1ADF-480F-8739-EE2872EE16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67775" y="76201"/>
          <a:ext cx="1293127" cy="461064"/>
        </a:xfrm>
        <a:prstGeom prst="rect">
          <a:avLst/>
        </a:prstGeom>
      </xdr:spPr>
    </xdr:pic>
    <xdr:clientData/>
  </xdr:twoCellAnchor>
  <xdr:twoCellAnchor>
    <xdr:from>
      <xdr:col>1</xdr:col>
      <xdr:colOff>923925</xdr:colOff>
      <xdr:row>3</xdr:row>
      <xdr:rowOff>161925</xdr:rowOff>
    </xdr:from>
    <xdr:to>
      <xdr:col>4</xdr:col>
      <xdr:colOff>504825</xdr:colOff>
      <xdr:row>4</xdr:row>
      <xdr:rowOff>1097100</xdr:rowOff>
    </xdr:to>
    <xdr:grpSp>
      <xdr:nvGrpSpPr>
        <xdr:cNvPr id="8" name="Grup 7">
          <a:extLst>
            <a:ext uri="{FF2B5EF4-FFF2-40B4-BE49-F238E27FC236}">
              <a16:creationId xmlns:a16="http://schemas.microsoft.com/office/drawing/2014/main" id="{571AC103-669D-4003-B96E-1A8CF0DC8A7B}"/>
            </a:ext>
          </a:extLst>
        </xdr:cNvPr>
        <xdr:cNvGrpSpPr/>
      </xdr:nvGrpSpPr>
      <xdr:grpSpPr>
        <a:xfrm>
          <a:off x="1724025" y="4267200"/>
          <a:ext cx="3009900" cy="1106625"/>
          <a:chOff x="962025" y="4191000"/>
          <a:chExt cx="3009900" cy="1106625"/>
        </a:xfrm>
      </xdr:grpSpPr>
      <xdr:sp macro="" textlink="">
        <xdr:nvSpPr>
          <xdr:cNvPr id="9" name="Metin kutusu 8">
            <a:extLst>
              <a:ext uri="{FF2B5EF4-FFF2-40B4-BE49-F238E27FC236}">
                <a16:creationId xmlns:a16="http://schemas.microsoft.com/office/drawing/2014/main" id="{DBB6E0ED-4B02-70FA-83D2-C366E4505938}"/>
              </a:ext>
            </a:extLst>
          </xdr:cNvPr>
          <xdr:cNvSpPr txBox="1"/>
        </xdr:nvSpPr>
        <xdr:spPr>
          <a:xfrm>
            <a:off x="962025" y="4505325"/>
            <a:ext cx="1219200" cy="523875"/>
          </a:xfrm>
          <a:prstGeom prst="rect">
            <a:avLst/>
          </a:prstGeom>
          <a:gradFill>
            <a:gsLst>
              <a:gs pos="0">
                <a:schemeClr val="accent5">
                  <a:lumMod val="20000"/>
                  <a:lumOff val="80000"/>
                </a:schemeClr>
              </a:gs>
              <a:gs pos="100000">
                <a:schemeClr val="lt1">
                  <a:shade val="100000"/>
                  <a:satMod val="115000"/>
                </a:schemeClr>
              </a:gs>
            </a:gsLst>
            <a:path path="circle">
              <a:fillToRect t="100000" r="100000"/>
            </a:path>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1100"/>
              <a:t>BAŞLAT</a:t>
            </a:r>
            <a:endParaRPr lang="en-US" sz="1100"/>
          </a:p>
        </xdr:txBody>
      </xdr:sp>
      <xdr:grpSp>
        <xdr:nvGrpSpPr>
          <xdr:cNvPr id="10" name="Grup 9">
            <a:extLst>
              <a:ext uri="{FF2B5EF4-FFF2-40B4-BE49-F238E27FC236}">
                <a16:creationId xmlns:a16="http://schemas.microsoft.com/office/drawing/2014/main" id="{18546FE1-9AEC-531E-70D7-2B44263F027E}"/>
              </a:ext>
            </a:extLst>
          </xdr:cNvPr>
          <xdr:cNvGrpSpPr/>
        </xdr:nvGrpSpPr>
        <xdr:grpSpPr>
          <a:xfrm>
            <a:off x="2752725" y="4191000"/>
            <a:ext cx="1219200" cy="1106625"/>
            <a:chOff x="2628900" y="4162425"/>
            <a:chExt cx="1219200" cy="1106625"/>
          </a:xfrm>
        </xdr:grpSpPr>
        <xdr:sp macro="" textlink="">
          <xdr:nvSpPr>
            <xdr:cNvPr id="13" name="Metin kutusu 12">
              <a:extLst>
                <a:ext uri="{FF2B5EF4-FFF2-40B4-BE49-F238E27FC236}">
                  <a16:creationId xmlns:a16="http://schemas.microsoft.com/office/drawing/2014/main" id="{2D84FA5D-A654-2BF9-1DB9-AF72B9E8C656}"/>
                </a:ext>
              </a:extLst>
            </xdr:cNvPr>
            <xdr:cNvSpPr txBox="1"/>
          </xdr:nvSpPr>
          <xdr:spPr>
            <a:xfrm>
              <a:off x="2628900" y="4162425"/>
              <a:ext cx="1219200" cy="523875"/>
            </a:xfrm>
            <a:prstGeom prst="rect">
              <a:avLst/>
            </a:prstGeom>
            <a:gradFill flip="none" rotWithShape="1">
              <a:gsLst>
                <a:gs pos="0">
                  <a:schemeClr val="accent1">
                    <a:lumMod val="20000"/>
                    <a:lumOff val="80000"/>
                  </a:schemeClr>
                </a:gs>
                <a:gs pos="100000">
                  <a:schemeClr val="lt1">
                    <a:shade val="100000"/>
                    <a:satMod val="115000"/>
                  </a:schemeClr>
                </a:gs>
              </a:gsLst>
              <a:path path="circle">
                <a:fillToRect t="100000" r="100000"/>
              </a:path>
              <a:tileRect l="-100000" b="-100000"/>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1000"/>
                <a:t>YIKAMA (Otomatik)</a:t>
              </a:r>
              <a:endParaRPr lang="en-US" sz="1000"/>
            </a:p>
          </xdr:txBody>
        </xdr:sp>
        <xdr:sp macro="" textlink="">
          <xdr:nvSpPr>
            <xdr:cNvPr id="14" name="Metin kutusu 13">
              <a:extLst>
                <a:ext uri="{FF2B5EF4-FFF2-40B4-BE49-F238E27FC236}">
                  <a16:creationId xmlns:a16="http://schemas.microsoft.com/office/drawing/2014/main" id="{EDF4D0EF-D888-08EA-1833-60414355CFEA}"/>
                </a:ext>
              </a:extLst>
            </xdr:cNvPr>
            <xdr:cNvSpPr txBox="1"/>
          </xdr:nvSpPr>
          <xdr:spPr>
            <a:xfrm>
              <a:off x="2628900" y="4743450"/>
              <a:ext cx="1219200" cy="525600"/>
            </a:xfrm>
            <a:prstGeom prst="rect">
              <a:avLst/>
            </a:prstGeom>
            <a:gradFill>
              <a:gsLst>
                <a:gs pos="0">
                  <a:schemeClr val="accent6">
                    <a:lumMod val="60000"/>
                    <a:lumOff val="40000"/>
                  </a:schemeClr>
                </a:gs>
                <a:gs pos="100000">
                  <a:schemeClr val="lt1">
                    <a:shade val="100000"/>
                    <a:satMod val="115000"/>
                  </a:schemeClr>
                </a:gs>
              </a:gsLst>
              <a:path path="circle">
                <a:fillToRect t="100000" r="100000"/>
              </a:path>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1000"/>
                <a:t>YIKAMA( Manuel )</a:t>
              </a:r>
              <a:endParaRPr lang="en-US" sz="1000"/>
            </a:p>
          </xdr:txBody>
        </xdr:sp>
      </xdr:grpSp>
      <xdr:cxnSp macro="">
        <xdr:nvCxnSpPr>
          <xdr:cNvPr id="11" name="Düz Ok Bağlayıcısı 10">
            <a:extLst>
              <a:ext uri="{FF2B5EF4-FFF2-40B4-BE49-F238E27FC236}">
                <a16:creationId xmlns:a16="http://schemas.microsoft.com/office/drawing/2014/main" id="{B667C87C-77AE-E750-963F-B8A1E741C844}"/>
              </a:ext>
            </a:extLst>
          </xdr:cNvPr>
          <xdr:cNvCxnSpPr>
            <a:stCxn id="9" idx="3"/>
            <a:endCxn id="13" idx="1"/>
          </xdr:cNvCxnSpPr>
        </xdr:nvCxnSpPr>
        <xdr:spPr>
          <a:xfrm flipV="1">
            <a:off x="2181225" y="4452938"/>
            <a:ext cx="571500" cy="3143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2" name="Düz Ok Bağlayıcısı 11">
            <a:extLst>
              <a:ext uri="{FF2B5EF4-FFF2-40B4-BE49-F238E27FC236}">
                <a16:creationId xmlns:a16="http://schemas.microsoft.com/office/drawing/2014/main" id="{D0012E66-CF90-70B2-2186-B58C1B9CE495}"/>
              </a:ext>
            </a:extLst>
          </xdr:cNvPr>
          <xdr:cNvCxnSpPr>
            <a:stCxn id="9" idx="3"/>
            <a:endCxn id="14" idx="1"/>
          </xdr:cNvCxnSpPr>
        </xdr:nvCxnSpPr>
        <xdr:spPr>
          <a:xfrm>
            <a:off x="2181225" y="4767263"/>
            <a:ext cx="571500" cy="26756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wsDr>
</file>

<file path=xl/drawings/drawing3.xml><?xml version="1.0" encoding="utf-8"?>
<xdr:wsDr xmlns:xdr="http://schemas.openxmlformats.org/drawingml/2006/spreadsheetDrawing" xmlns:a="http://schemas.openxmlformats.org/drawingml/2006/main">
  <xdr:oneCellAnchor>
    <xdr:from>
      <xdr:col>5</xdr:col>
      <xdr:colOff>171450</xdr:colOff>
      <xdr:row>5</xdr:row>
      <xdr:rowOff>114300</xdr:rowOff>
    </xdr:from>
    <xdr:ext cx="634854" cy="252120"/>
    <mc:AlternateContent xmlns:mc="http://schemas.openxmlformats.org/markup-compatibility/2006" xmlns:a14="http://schemas.microsoft.com/office/drawing/2010/main">
      <mc:Choice Requires="a14">
        <xdr:sp macro="" textlink="">
          <xdr:nvSpPr>
            <xdr:cNvPr id="2" name="Metin kutusu 1">
              <a:extLst>
                <a:ext uri="{FF2B5EF4-FFF2-40B4-BE49-F238E27FC236}">
                  <a16:creationId xmlns:a16="http://schemas.microsoft.com/office/drawing/2014/main" id="{9E6B57FE-18AE-4432-A7A6-E6B3625F9B0A}"/>
                </a:ext>
              </a:extLst>
            </xdr:cNvPr>
            <xdr:cNvSpPr txBox="1"/>
          </xdr:nvSpPr>
          <xdr:spPr>
            <a:xfrm>
              <a:off x="5467350" y="5695950"/>
              <a:ext cx="634854" cy="252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tr-TR" sz="800" b="0" i="1">
                        <a:latin typeface="Cambria Math" panose="02040503050406030204" pitchFamily="18" charset="0"/>
                      </a:rPr>
                      <m:t>𝑃</m:t>
                    </m:r>
                    <m:r>
                      <a:rPr lang="tr-TR" sz="800" b="0" i="1">
                        <a:latin typeface="Cambria Math" panose="02040503050406030204" pitchFamily="18" charset="0"/>
                      </a:rPr>
                      <m:t>=</m:t>
                    </m:r>
                    <m:f>
                      <m:fPr>
                        <m:ctrlPr>
                          <a:rPr lang="tr-TR" sz="800" b="0" i="1">
                            <a:latin typeface="Cambria Math" panose="02040503050406030204" pitchFamily="18" charset="0"/>
                          </a:rPr>
                        </m:ctrlPr>
                      </m:fPr>
                      <m:num>
                        <m:r>
                          <a:rPr lang="tr-TR" sz="800" b="0" i="1">
                            <a:latin typeface="Cambria Math" panose="02040503050406030204" pitchFamily="18" charset="0"/>
                          </a:rPr>
                          <m:t>𝐶𝑎𝑝𝑎𝑐𝑖𝑡𝑦</m:t>
                        </m:r>
                      </m:num>
                      <m:den>
                        <m:r>
                          <a:rPr lang="en-US" sz="800" b="0" i="1">
                            <a:latin typeface="Cambria Math" panose="02040503050406030204" pitchFamily="18" charset="0"/>
                            <a:ea typeface="Cambria Math" panose="02040503050406030204" pitchFamily="18" charset="0"/>
                          </a:rPr>
                          <m:t>𝜂</m:t>
                        </m:r>
                      </m:den>
                    </m:f>
                  </m:oMath>
                </m:oMathPara>
              </a14:m>
              <a:endParaRPr lang="en-US" sz="800"/>
            </a:p>
          </xdr:txBody>
        </xdr:sp>
      </mc:Choice>
      <mc:Fallback xmlns="">
        <xdr:sp macro="" textlink="">
          <xdr:nvSpPr>
            <xdr:cNvPr id="2" name="Metin kutusu 1">
              <a:extLst>
                <a:ext uri="{FF2B5EF4-FFF2-40B4-BE49-F238E27FC236}">
                  <a16:creationId xmlns:a16="http://schemas.microsoft.com/office/drawing/2014/main" id="{9E6B57FE-18AE-4432-A7A6-E6B3625F9B0A}"/>
                </a:ext>
              </a:extLst>
            </xdr:cNvPr>
            <xdr:cNvSpPr txBox="1"/>
          </xdr:nvSpPr>
          <xdr:spPr>
            <a:xfrm>
              <a:off x="5467350" y="5695950"/>
              <a:ext cx="634854" cy="252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tr-TR" sz="800" b="0" i="0">
                  <a:latin typeface="Cambria Math" panose="02040503050406030204" pitchFamily="18" charset="0"/>
                </a:rPr>
                <a:t>𝑃=𝐶𝑎𝑝𝑎𝑐𝑖𝑡𝑦</a:t>
              </a:r>
              <a:r>
                <a:rPr lang="en-US" sz="800" b="0" i="0">
                  <a:latin typeface="Cambria Math" panose="02040503050406030204" pitchFamily="18" charset="0"/>
                </a:rPr>
                <a:t>/</a:t>
              </a:r>
              <a:r>
                <a:rPr lang="en-US" sz="800" b="0" i="0">
                  <a:latin typeface="Cambria Math" panose="02040503050406030204" pitchFamily="18" charset="0"/>
                  <a:ea typeface="Cambria Math" panose="02040503050406030204" pitchFamily="18" charset="0"/>
                </a:rPr>
                <a:t>𝜂</a:t>
              </a:r>
              <a:endParaRPr lang="en-US" sz="800"/>
            </a:p>
          </xdr:txBody>
        </xdr:sp>
      </mc:Fallback>
    </mc:AlternateContent>
    <xdr:clientData/>
  </xdr:oneCellAnchor>
  <xdr:oneCellAnchor>
    <xdr:from>
      <xdr:col>7</xdr:col>
      <xdr:colOff>247650</xdr:colOff>
      <xdr:row>5</xdr:row>
      <xdr:rowOff>104775</xdr:rowOff>
    </xdr:from>
    <xdr:ext cx="433965" cy="251223"/>
    <mc:AlternateContent xmlns:mc="http://schemas.openxmlformats.org/markup-compatibility/2006" xmlns:a14="http://schemas.microsoft.com/office/drawing/2010/main">
      <mc:Choice Requires="a14">
        <xdr:sp macro="" textlink="">
          <xdr:nvSpPr>
            <xdr:cNvPr id="3" name="Metin kutusu 2">
              <a:extLst>
                <a:ext uri="{FF2B5EF4-FFF2-40B4-BE49-F238E27FC236}">
                  <a16:creationId xmlns:a16="http://schemas.microsoft.com/office/drawing/2014/main" id="{5E692576-12CE-4710-BEC3-E2F7D15EE213}"/>
                </a:ext>
              </a:extLst>
            </xdr:cNvPr>
            <xdr:cNvSpPr txBox="1"/>
          </xdr:nvSpPr>
          <xdr:spPr>
            <a:xfrm>
              <a:off x="7505700" y="5686425"/>
              <a:ext cx="433965" cy="2512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tr-TR" sz="800" b="0" i="1">
                        <a:latin typeface="Cambria Math" panose="02040503050406030204" pitchFamily="18" charset="0"/>
                      </a:rPr>
                      <m:t>𝑆</m:t>
                    </m:r>
                    <m:r>
                      <a:rPr lang="tr-TR" sz="800" b="0" i="1">
                        <a:latin typeface="Cambria Math" panose="02040503050406030204" pitchFamily="18" charset="0"/>
                      </a:rPr>
                      <m:t>=</m:t>
                    </m:r>
                    <m:f>
                      <m:fPr>
                        <m:ctrlPr>
                          <a:rPr lang="tr-TR" sz="800" b="0" i="1">
                            <a:latin typeface="Cambria Math" panose="02040503050406030204" pitchFamily="18" charset="0"/>
                          </a:rPr>
                        </m:ctrlPr>
                      </m:fPr>
                      <m:num>
                        <m:r>
                          <a:rPr lang="tr-TR" sz="800" b="0" i="1">
                            <a:latin typeface="Cambria Math" panose="02040503050406030204" pitchFamily="18" charset="0"/>
                          </a:rPr>
                          <m:t>𝑃</m:t>
                        </m:r>
                      </m:num>
                      <m:den>
                        <m:r>
                          <a:rPr lang="tr-TR" sz="800" b="0" i="1">
                            <a:latin typeface="Cambria Math" panose="02040503050406030204" pitchFamily="18" charset="0"/>
                          </a:rPr>
                          <m:t>𝑐𝑜𝑠</m:t>
                        </m:r>
                        <m:r>
                          <a:rPr lang="tr-TR" sz="800" b="0" i="1">
                            <a:latin typeface="Cambria Math" panose="02040503050406030204" pitchFamily="18" charset="0"/>
                            <a:ea typeface="Cambria Math" panose="02040503050406030204" pitchFamily="18" charset="0"/>
                          </a:rPr>
                          <m:t>𝜑</m:t>
                        </m:r>
                      </m:den>
                    </m:f>
                  </m:oMath>
                </m:oMathPara>
              </a14:m>
              <a:endParaRPr lang="en-US" sz="800"/>
            </a:p>
          </xdr:txBody>
        </xdr:sp>
      </mc:Choice>
      <mc:Fallback xmlns="">
        <xdr:sp macro="" textlink="">
          <xdr:nvSpPr>
            <xdr:cNvPr id="3" name="Metin kutusu 2">
              <a:extLst>
                <a:ext uri="{FF2B5EF4-FFF2-40B4-BE49-F238E27FC236}">
                  <a16:creationId xmlns:a16="http://schemas.microsoft.com/office/drawing/2014/main" id="{5E692576-12CE-4710-BEC3-E2F7D15EE213}"/>
                </a:ext>
              </a:extLst>
            </xdr:cNvPr>
            <xdr:cNvSpPr txBox="1"/>
          </xdr:nvSpPr>
          <xdr:spPr>
            <a:xfrm>
              <a:off x="7505700" y="5686425"/>
              <a:ext cx="433965" cy="2512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tr-TR" sz="800" b="0" i="0">
                  <a:latin typeface="Cambria Math" panose="02040503050406030204" pitchFamily="18" charset="0"/>
                </a:rPr>
                <a:t>𝑆=𝑃</a:t>
              </a:r>
              <a:r>
                <a:rPr lang="en-US" sz="800" b="0" i="0">
                  <a:latin typeface="Cambria Math" panose="02040503050406030204" pitchFamily="18" charset="0"/>
                </a:rPr>
                <a:t>/</a:t>
              </a:r>
              <a:r>
                <a:rPr lang="tr-TR" sz="800" b="0" i="0">
                  <a:latin typeface="Cambria Math" panose="02040503050406030204" pitchFamily="18" charset="0"/>
                </a:rPr>
                <a:t>𝑐𝑜𝑠</a:t>
              </a:r>
              <a:r>
                <a:rPr lang="tr-TR" sz="800" b="0" i="0">
                  <a:latin typeface="Cambria Math" panose="02040503050406030204" pitchFamily="18" charset="0"/>
                  <a:ea typeface="Cambria Math" panose="02040503050406030204" pitchFamily="18" charset="0"/>
                </a:rPr>
                <a:t>𝜑</a:t>
              </a:r>
              <a:endParaRPr lang="en-US" sz="800"/>
            </a:p>
          </xdr:txBody>
        </xdr:sp>
      </mc:Fallback>
    </mc:AlternateContent>
    <xdr:clientData/>
  </xdr:oneCellAnchor>
  <xdr:oneCellAnchor>
    <xdr:from>
      <xdr:col>6</xdr:col>
      <xdr:colOff>152400</xdr:colOff>
      <xdr:row>5</xdr:row>
      <xdr:rowOff>142875</xdr:rowOff>
    </xdr:from>
    <xdr:ext cx="733598" cy="151388"/>
    <mc:AlternateContent xmlns:mc="http://schemas.openxmlformats.org/markup-compatibility/2006" xmlns:a14="http://schemas.microsoft.com/office/drawing/2010/main">
      <mc:Choice Requires="a14">
        <xdr:sp macro="" textlink="">
          <xdr:nvSpPr>
            <xdr:cNvPr id="4" name="Metin kutusu 3">
              <a:extLst>
                <a:ext uri="{FF2B5EF4-FFF2-40B4-BE49-F238E27FC236}">
                  <a16:creationId xmlns:a16="http://schemas.microsoft.com/office/drawing/2014/main" id="{7FB9D8C8-C980-4AD9-86D3-E0BE0896D2B2}"/>
                </a:ext>
              </a:extLst>
            </xdr:cNvPr>
            <xdr:cNvSpPr txBox="1"/>
          </xdr:nvSpPr>
          <xdr:spPr>
            <a:xfrm>
              <a:off x="6429375" y="5724525"/>
              <a:ext cx="733598" cy="151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tr-TR" sz="800" b="0" i="1">
                        <a:latin typeface="Cambria Math" panose="02040503050406030204" pitchFamily="18" charset="0"/>
                      </a:rPr>
                      <m:t>𝑄</m:t>
                    </m:r>
                    <m:r>
                      <a:rPr lang="tr-TR" sz="800" b="0" i="1">
                        <a:latin typeface="Cambria Math" panose="02040503050406030204" pitchFamily="18" charset="0"/>
                      </a:rPr>
                      <m:t>=</m:t>
                    </m:r>
                    <m:rad>
                      <m:radPr>
                        <m:degHide m:val="on"/>
                        <m:ctrlPr>
                          <a:rPr lang="en-US" sz="800" b="0" i="1">
                            <a:latin typeface="Cambria Math" panose="02040503050406030204" pitchFamily="18" charset="0"/>
                          </a:rPr>
                        </m:ctrlPr>
                      </m:radPr>
                      <m:deg/>
                      <m:e>
                        <m:r>
                          <a:rPr lang="tr-TR" sz="800" b="0" i="1">
                            <a:latin typeface="Cambria Math" panose="02040503050406030204" pitchFamily="18" charset="0"/>
                          </a:rPr>
                          <m:t>(</m:t>
                        </m:r>
                        <m:sSup>
                          <m:sSupPr>
                            <m:ctrlPr>
                              <a:rPr lang="tr-TR" sz="800" b="0" i="1">
                                <a:latin typeface="Cambria Math" panose="02040503050406030204" pitchFamily="18" charset="0"/>
                              </a:rPr>
                            </m:ctrlPr>
                          </m:sSupPr>
                          <m:e>
                            <m:r>
                              <a:rPr lang="tr-TR" sz="800" b="0" i="1">
                                <a:latin typeface="Cambria Math" panose="02040503050406030204" pitchFamily="18" charset="0"/>
                              </a:rPr>
                              <m:t>𝑆</m:t>
                            </m:r>
                          </m:e>
                          <m:sup>
                            <m:r>
                              <a:rPr lang="tr-TR" sz="800" b="0" i="1">
                                <a:latin typeface="Cambria Math" panose="02040503050406030204" pitchFamily="18" charset="0"/>
                              </a:rPr>
                              <m:t>2</m:t>
                            </m:r>
                          </m:sup>
                        </m:sSup>
                        <m:r>
                          <a:rPr lang="tr-TR" sz="800" b="0" i="1">
                            <a:latin typeface="Cambria Math" panose="02040503050406030204" pitchFamily="18" charset="0"/>
                          </a:rPr>
                          <m:t>−</m:t>
                        </m:r>
                        <m:sSup>
                          <m:sSupPr>
                            <m:ctrlPr>
                              <a:rPr lang="tr-TR" sz="800" b="0" i="1">
                                <a:latin typeface="Cambria Math" panose="02040503050406030204" pitchFamily="18" charset="0"/>
                              </a:rPr>
                            </m:ctrlPr>
                          </m:sSupPr>
                          <m:e>
                            <m:r>
                              <a:rPr lang="tr-TR" sz="800" b="0" i="1">
                                <a:latin typeface="Cambria Math" panose="02040503050406030204" pitchFamily="18" charset="0"/>
                              </a:rPr>
                              <m:t>𝑃</m:t>
                            </m:r>
                          </m:e>
                          <m:sup>
                            <m:r>
                              <a:rPr lang="tr-TR" sz="800" b="0" i="1">
                                <a:latin typeface="Cambria Math" panose="02040503050406030204" pitchFamily="18" charset="0"/>
                              </a:rPr>
                              <m:t>2</m:t>
                            </m:r>
                          </m:sup>
                        </m:sSup>
                        <m:r>
                          <a:rPr lang="tr-TR" sz="800" b="0" i="1">
                            <a:latin typeface="Cambria Math" panose="02040503050406030204" pitchFamily="18" charset="0"/>
                          </a:rPr>
                          <m:t>)</m:t>
                        </m:r>
                      </m:e>
                    </m:rad>
                  </m:oMath>
                </m:oMathPara>
              </a14:m>
              <a:endParaRPr lang="en-US" sz="800"/>
            </a:p>
          </xdr:txBody>
        </xdr:sp>
      </mc:Choice>
      <mc:Fallback xmlns="">
        <xdr:sp macro="" textlink="">
          <xdr:nvSpPr>
            <xdr:cNvPr id="4" name="Metin kutusu 3">
              <a:extLst>
                <a:ext uri="{FF2B5EF4-FFF2-40B4-BE49-F238E27FC236}">
                  <a16:creationId xmlns:a16="http://schemas.microsoft.com/office/drawing/2014/main" id="{7FB9D8C8-C980-4AD9-86D3-E0BE0896D2B2}"/>
                </a:ext>
              </a:extLst>
            </xdr:cNvPr>
            <xdr:cNvSpPr txBox="1"/>
          </xdr:nvSpPr>
          <xdr:spPr>
            <a:xfrm>
              <a:off x="6429375" y="5724525"/>
              <a:ext cx="733598" cy="151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tr-TR" sz="800" b="0" i="0">
                  <a:latin typeface="Cambria Math" panose="02040503050406030204" pitchFamily="18" charset="0"/>
                </a:rPr>
                <a:t>𝑄=</a:t>
              </a:r>
              <a:r>
                <a:rPr lang="en-US" sz="800" b="0" i="0">
                  <a:latin typeface="Cambria Math" panose="02040503050406030204" pitchFamily="18" charset="0"/>
                </a:rPr>
                <a:t>√(</a:t>
              </a:r>
              <a:r>
                <a:rPr lang="tr-TR" sz="800" b="0" i="0">
                  <a:latin typeface="Cambria Math" panose="02040503050406030204" pitchFamily="18" charset="0"/>
                </a:rPr>
                <a:t>(𝑆</a:t>
              </a:r>
              <a:r>
                <a:rPr lang="en-US" sz="800" b="0" i="0">
                  <a:latin typeface="Cambria Math" panose="02040503050406030204" pitchFamily="18" charset="0"/>
                </a:rPr>
                <a:t>^</a:t>
              </a:r>
              <a:r>
                <a:rPr lang="tr-TR" sz="800" b="0" i="0">
                  <a:latin typeface="Cambria Math" panose="02040503050406030204" pitchFamily="18" charset="0"/>
                </a:rPr>
                <a:t>2−𝑃</a:t>
              </a:r>
              <a:r>
                <a:rPr lang="en-US" sz="800" b="0" i="0">
                  <a:latin typeface="Cambria Math" panose="02040503050406030204" pitchFamily="18" charset="0"/>
                </a:rPr>
                <a:t>^</a:t>
              </a:r>
              <a:r>
                <a:rPr lang="tr-TR" sz="800" b="0" i="0">
                  <a:latin typeface="Cambria Math" panose="02040503050406030204" pitchFamily="18" charset="0"/>
                </a:rPr>
                <a:t>2)</a:t>
              </a:r>
              <a:r>
                <a:rPr lang="en-US" sz="800" b="0" i="0">
                  <a:latin typeface="Cambria Math" panose="02040503050406030204" pitchFamily="18" charset="0"/>
                </a:rPr>
                <a:t>)</a:t>
              </a:r>
              <a:endParaRPr lang="en-US" sz="800"/>
            </a:p>
          </xdr:txBody>
        </xdr:sp>
      </mc:Fallback>
    </mc:AlternateContent>
    <xdr:clientData/>
  </xdr:oneCellAnchor>
  <xdr:oneCellAnchor>
    <xdr:from>
      <xdr:col>9</xdr:col>
      <xdr:colOff>38100</xdr:colOff>
      <xdr:row>5</xdr:row>
      <xdr:rowOff>95250</xdr:rowOff>
    </xdr:from>
    <xdr:ext cx="899412" cy="266548"/>
    <mc:AlternateContent xmlns:mc="http://schemas.openxmlformats.org/markup-compatibility/2006" xmlns:a14="http://schemas.microsoft.com/office/drawing/2010/main">
      <mc:Choice Requires="a14">
        <xdr:sp macro="" textlink="">
          <xdr:nvSpPr>
            <xdr:cNvPr id="5" name="Metin kutusu 4">
              <a:extLst>
                <a:ext uri="{FF2B5EF4-FFF2-40B4-BE49-F238E27FC236}">
                  <a16:creationId xmlns:a16="http://schemas.microsoft.com/office/drawing/2014/main" id="{F4F595C7-7BBE-4F4B-B237-C6A821F1D395}"/>
                </a:ext>
              </a:extLst>
            </xdr:cNvPr>
            <xdr:cNvSpPr txBox="1"/>
          </xdr:nvSpPr>
          <xdr:spPr>
            <a:xfrm>
              <a:off x="9344025" y="5676900"/>
              <a:ext cx="899412" cy="2665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tr-TR" sz="800" b="0" i="1">
                            <a:latin typeface="Cambria Math" panose="02040503050406030204" pitchFamily="18" charset="0"/>
                          </a:rPr>
                        </m:ctrlPr>
                      </m:sSubPr>
                      <m:e>
                        <m:r>
                          <a:rPr lang="tr-TR" sz="800" b="0" i="1">
                            <a:latin typeface="Cambria Math" panose="02040503050406030204" pitchFamily="18" charset="0"/>
                          </a:rPr>
                          <m:t>𝐼</m:t>
                        </m:r>
                      </m:e>
                      <m:sub>
                        <m:r>
                          <a:rPr lang="tr-TR" sz="800" b="0" i="1">
                            <a:latin typeface="Cambria Math" panose="02040503050406030204" pitchFamily="18" charset="0"/>
                          </a:rPr>
                          <m:t>𝑛</m:t>
                        </m:r>
                      </m:sub>
                    </m:sSub>
                    <m:r>
                      <a:rPr lang="tr-TR" sz="800" b="0" i="1">
                        <a:latin typeface="Cambria Math" panose="02040503050406030204" pitchFamily="18" charset="0"/>
                      </a:rPr>
                      <m:t>=</m:t>
                    </m:r>
                    <m:f>
                      <m:fPr>
                        <m:ctrlPr>
                          <a:rPr lang="tr-TR" sz="800" b="0" i="1">
                            <a:latin typeface="Cambria Math" panose="02040503050406030204" pitchFamily="18" charset="0"/>
                          </a:rPr>
                        </m:ctrlPr>
                      </m:fPr>
                      <m:num>
                        <m:r>
                          <a:rPr lang="tr-TR" sz="800" b="0" i="1">
                            <a:latin typeface="Cambria Math" panose="02040503050406030204" pitchFamily="18" charset="0"/>
                          </a:rPr>
                          <m:t>𝑃</m:t>
                        </m:r>
                      </m:num>
                      <m:den>
                        <m:r>
                          <a:rPr lang="tr-TR" sz="800" b="0" i="1">
                            <a:latin typeface="Cambria Math" panose="02040503050406030204" pitchFamily="18" charset="0"/>
                          </a:rPr>
                          <m:t>𝑈</m:t>
                        </m:r>
                        <m:r>
                          <a:rPr lang="tr-TR" sz="800" b="0" i="1">
                            <a:latin typeface="Cambria Math" panose="02040503050406030204" pitchFamily="18" charset="0"/>
                            <a:ea typeface="Cambria Math" panose="02040503050406030204" pitchFamily="18" charset="0"/>
                          </a:rPr>
                          <m:t>×</m:t>
                        </m:r>
                        <m:rad>
                          <m:radPr>
                            <m:degHide m:val="on"/>
                            <m:ctrlPr>
                              <a:rPr lang="en-US" sz="800" b="0" i="1">
                                <a:latin typeface="Cambria Math" panose="02040503050406030204" pitchFamily="18" charset="0"/>
                                <a:ea typeface="Cambria Math" panose="02040503050406030204" pitchFamily="18" charset="0"/>
                              </a:rPr>
                            </m:ctrlPr>
                          </m:radPr>
                          <m:deg/>
                          <m:e>
                            <m:r>
                              <a:rPr lang="tr-TR" sz="800" b="0" i="1">
                                <a:latin typeface="Cambria Math" panose="02040503050406030204" pitchFamily="18" charset="0"/>
                                <a:ea typeface="Cambria Math" panose="02040503050406030204" pitchFamily="18" charset="0"/>
                              </a:rPr>
                              <m:t>3</m:t>
                            </m:r>
                          </m:e>
                        </m:rad>
                        <m:r>
                          <a:rPr lang="en-US" sz="800" b="0" i="1">
                            <a:latin typeface="Cambria Math" panose="02040503050406030204" pitchFamily="18" charset="0"/>
                            <a:ea typeface="Cambria Math" panose="02040503050406030204" pitchFamily="18" charset="0"/>
                          </a:rPr>
                          <m:t>×</m:t>
                        </m:r>
                        <m:r>
                          <a:rPr lang="tr-TR" sz="800" b="0" i="1">
                            <a:latin typeface="Cambria Math" panose="02040503050406030204" pitchFamily="18" charset="0"/>
                            <a:ea typeface="Cambria Math" panose="02040503050406030204" pitchFamily="18" charset="0"/>
                          </a:rPr>
                          <m:t>𝑐𝑜𝑠</m:t>
                        </m:r>
                        <m:r>
                          <a:rPr lang="tr-TR" sz="800" b="0" i="1">
                            <a:latin typeface="Cambria Math" panose="02040503050406030204" pitchFamily="18" charset="0"/>
                            <a:ea typeface="Cambria Math" panose="02040503050406030204" pitchFamily="18" charset="0"/>
                          </a:rPr>
                          <m:t>𝜑</m:t>
                        </m:r>
                      </m:den>
                    </m:f>
                  </m:oMath>
                </m:oMathPara>
              </a14:m>
              <a:endParaRPr lang="en-US" sz="800"/>
            </a:p>
          </xdr:txBody>
        </xdr:sp>
      </mc:Choice>
      <mc:Fallback xmlns="">
        <xdr:sp macro="" textlink="">
          <xdr:nvSpPr>
            <xdr:cNvPr id="5" name="Metin kutusu 4">
              <a:extLst>
                <a:ext uri="{FF2B5EF4-FFF2-40B4-BE49-F238E27FC236}">
                  <a16:creationId xmlns:a16="http://schemas.microsoft.com/office/drawing/2014/main" id="{F4F595C7-7BBE-4F4B-B237-C6A821F1D395}"/>
                </a:ext>
              </a:extLst>
            </xdr:cNvPr>
            <xdr:cNvSpPr txBox="1"/>
          </xdr:nvSpPr>
          <xdr:spPr>
            <a:xfrm>
              <a:off x="9344025" y="5676900"/>
              <a:ext cx="899412" cy="2665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tr-TR" sz="800" b="0" i="0">
                  <a:latin typeface="Cambria Math" panose="02040503050406030204" pitchFamily="18" charset="0"/>
                </a:rPr>
                <a:t>𝐼</a:t>
              </a:r>
              <a:r>
                <a:rPr lang="en-US" sz="800" b="0" i="0">
                  <a:latin typeface="Cambria Math" panose="02040503050406030204" pitchFamily="18" charset="0"/>
                </a:rPr>
                <a:t>_</a:t>
              </a:r>
              <a:r>
                <a:rPr lang="tr-TR" sz="800" b="0" i="0">
                  <a:latin typeface="Cambria Math" panose="02040503050406030204" pitchFamily="18" charset="0"/>
                </a:rPr>
                <a:t>𝑛=𝑃</a:t>
              </a:r>
              <a:r>
                <a:rPr lang="en-US" sz="800" b="0" i="0">
                  <a:latin typeface="Cambria Math" panose="02040503050406030204" pitchFamily="18" charset="0"/>
                </a:rPr>
                <a:t>/(</a:t>
              </a:r>
              <a:r>
                <a:rPr lang="tr-TR" sz="800" b="0" i="0">
                  <a:latin typeface="Cambria Math" panose="02040503050406030204" pitchFamily="18" charset="0"/>
                </a:rPr>
                <a:t>𝑈</a:t>
              </a:r>
              <a:r>
                <a:rPr lang="tr-TR" sz="800" b="0" i="0">
                  <a:latin typeface="Cambria Math" panose="02040503050406030204" pitchFamily="18" charset="0"/>
                  <a:ea typeface="Cambria Math" panose="02040503050406030204" pitchFamily="18" charset="0"/>
                </a:rPr>
                <a:t>×</a:t>
              </a:r>
              <a:r>
                <a:rPr lang="en-US" sz="800" b="0" i="0">
                  <a:latin typeface="Cambria Math" panose="02040503050406030204" pitchFamily="18" charset="0"/>
                  <a:ea typeface="Cambria Math" panose="02040503050406030204" pitchFamily="18" charset="0"/>
                </a:rPr>
                <a:t>√</a:t>
              </a:r>
              <a:r>
                <a:rPr lang="tr-TR" sz="800" b="0" i="0">
                  <a:latin typeface="Cambria Math" panose="02040503050406030204" pitchFamily="18" charset="0"/>
                  <a:ea typeface="Cambria Math" panose="02040503050406030204" pitchFamily="18" charset="0"/>
                </a:rPr>
                <a:t>3</a:t>
              </a:r>
              <a:r>
                <a:rPr lang="en-US" sz="800" b="0" i="0">
                  <a:latin typeface="Cambria Math" panose="02040503050406030204" pitchFamily="18" charset="0"/>
                  <a:ea typeface="Cambria Math" panose="02040503050406030204" pitchFamily="18" charset="0"/>
                </a:rPr>
                <a:t>×</a:t>
              </a:r>
              <a:r>
                <a:rPr lang="tr-TR" sz="800" b="0" i="0">
                  <a:latin typeface="Cambria Math" panose="02040503050406030204" pitchFamily="18" charset="0"/>
                  <a:ea typeface="Cambria Math" panose="02040503050406030204" pitchFamily="18" charset="0"/>
                </a:rPr>
                <a:t>𝑐𝑜𝑠𝜑</a:t>
              </a:r>
              <a:r>
                <a:rPr lang="en-US" sz="800" b="0" i="0">
                  <a:latin typeface="Cambria Math" panose="02040503050406030204" pitchFamily="18" charset="0"/>
                  <a:ea typeface="Cambria Math" panose="02040503050406030204" pitchFamily="18" charset="0"/>
                </a:rPr>
                <a:t>)</a:t>
              </a:r>
              <a:endParaRPr lang="en-US" sz="800"/>
            </a:p>
          </xdr:txBody>
        </xdr:sp>
      </mc:Fallback>
    </mc:AlternateContent>
    <xdr:clientData/>
  </xdr:oneCellAnchor>
  <xdr:oneCellAnchor>
    <xdr:from>
      <xdr:col>0</xdr:col>
      <xdr:colOff>0</xdr:colOff>
      <xdr:row>0</xdr:row>
      <xdr:rowOff>0</xdr:rowOff>
    </xdr:from>
    <xdr:ext cx="5775299" cy="593239"/>
    <xdr:sp macro="" textlink="">
      <xdr:nvSpPr>
        <xdr:cNvPr id="6" name="Dikdörtgen 5">
          <a:extLst>
            <a:ext uri="{FF2B5EF4-FFF2-40B4-BE49-F238E27FC236}">
              <a16:creationId xmlns:a16="http://schemas.microsoft.com/office/drawing/2014/main" id="{879EDE4D-3786-4233-80A6-3E79BF8A8A3D}"/>
            </a:ext>
          </a:extLst>
        </xdr:cNvPr>
        <xdr:cNvSpPr/>
      </xdr:nvSpPr>
      <xdr:spPr>
        <a:xfrm>
          <a:off x="0" y="0"/>
          <a:ext cx="5775299" cy="593239"/>
        </a:xfrm>
        <a:prstGeom prst="rect">
          <a:avLst/>
        </a:prstGeom>
        <a:noFill/>
      </xdr:spPr>
      <xdr:txBody>
        <a:bodyPr wrap="none" lIns="91440" tIns="45720" rIns="91440" bIns="45720">
          <a:spAutoFit/>
        </a:bodyPr>
        <a:lstStyle/>
        <a:p>
          <a:pPr algn="ctr"/>
          <a:r>
            <a:rPr lang="tr-TR" sz="32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ptos Display" panose="020B0004020202020204" pitchFamily="34" charset="0"/>
            </a:rPr>
            <a:t>Anma Akımı Hesaplama Raporu </a:t>
          </a:r>
        </a:p>
      </xdr:txBody>
    </xdr:sp>
    <xdr:clientData/>
  </xdr:oneCellAnchor>
  <xdr:twoCellAnchor editAs="oneCell">
    <xdr:from>
      <xdr:col>8</xdr:col>
      <xdr:colOff>542925</xdr:colOff>
      <xdr:row>0</xdr:row>
      <xdr:rowOff>76201</xdr:rowOff>
    </xdr:from>
    <xdr:to>
      <xdr:col>9</xdr:col>
      <xdr:colOff>854977</xdr:colOff>
      <xdr:row>0</xdr:row>
      <xdr:rowOff>537265</xdr:rowOff>
    </xdr:to>
    <xdr:pic>
      <xdr:nvPicPr>
        <xdr:cNvPr id="7" name="Resim 6">
          <a:extLst>
            <a:ext uri="{FF2B5EF4-FFF2-40B4-BE49-F238E27FC236}">
              <a16:creationId xmlns:a16="http://schemas.microsoft.com/office/drawing/2014/main" id="{05E09D1E-AD07-4A36-8EC1-993E90C3C7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67775" y="76201"/>
          <a:ext cx="1293127" cy="461064"/>
        </a:xfrm>
        <a:prstGeom prst="rect">
          <a:avLst/>
        </a:prstGeom>
      </xdr:spPr>
    </xdr:pic>
    <xdr:clientData/>
  </xdr:twoCellAnchor>
  <xdr:twoCellAnchor>
    <xdr:from>
      <xdr:col>1</xdr:col>
      <xdr:colOff>923925</xdr:colOff>
      <xdr:row>3</xdr:row>
      <xdr:rowOff>161925</xdr:rowOff>
    </xdr:from>
    <xdr:to>
      <xdr:col>4</xdr:col>
      <xdr:colOff>504825</xdr:colOff>
      <xdr:row>4</xdr:row>
      <xdr:rowOff>1097100</xdr:rowOff>
    </xdr:to>
    <xdr:grpSp>
      <xdr:nvGrpSpPr>
        <xdr:cNvPr id="8" name="Grup 7">
          <a:extLst>
            <a:ext uri="{FF2B5EF4-FFF2-40B4-BE49-F238E27FC236}">
              <a16:creationId xmlns:a16="http://schemas.microsoft.com/office/drawing/2014/main" id="{6118A2BF-CE4A-4558-B2DB-6A0F98F3AABE}"/>
            </a:ext>
          </a:extLst>
        </xdr:cNvPr>
        <xdr:cNvGrpSpPr/>
      </xdr:nvGrpSpPr>
      <xdr:grpSpPr>
        <a:xfrm>
          <a:off x="1724025" y="4267200"/>
          <a:ext cx="3009900" cy="1106625"/>
          <a:chOff x="962025" y="4191000"/>
          <a:chExt cx="3009900" cy="1106625"/>
        </a:xfrm>
      </xdr:grpSpPr>
      <xdr:sp macro="" textlink="">
        <xdr:nvSpPr>
          <xdr:cNvPr id="9" name="Metin kutusu 8">
            <a:extLst>
              <a:ext uri="{FF2B5EF4-FFF2-40B4-BE49-F238E27FC236}">
                <a16:creationId xmlns:a16="http://schemas.microsoft.com/office/drawing/2014/main" id="{D82D736D-15E7-74F4-8A5C-66D08735FAF9}"/>
              </a:ext>
            </a:extLst>
          </xdr:cNvPr>
          <xdr:cNvSpPr txBox="1"/>
        </xdr:nvSpPr>
        <xdr:spPr>
          <a:xfrm>
            <a:off x="962025" y="4505325"/>
            <a:ext cx="1219200" cy="523875"/>
          </a:xfrm>
          <a:prstGeom prst="rect">
            <a:avLst/>
          </a:prstGeom>
          <a:gradFill>
            <a:gsLst>
              <a:gs pos="0">
                <a:schemeClr val="accent5">
                  <a:lumMod val="20000"/>
                  <a:lumOff val="80000"/>
                </a:schemeClr>
              </a:gs>
              <a:gs pos="100000">
                <a:schemeClr val="lt1">
                  <a:shade val="100000"/>
                  <a:satMod val="115000"/>
                </a:schemeClr>
              </a:gs>
            </a:gsLst>
            <a:path path="circle">
              <a:fillToRect t="100000" r="100000"/>
            </a:path>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1100"/>
              <a:t>BAŞLAT</a:t>
            </a:r>
            <a:endParaRPr lang="en-US" sz="1100"/>
          </a:p>
        </xdr:txBody>
      </xdr:sp>
      <xdr:grpSp>
        <xdr:nvGrpSpPr>
          <xdr:cNvPr id="10" name="Grup 9">
            <a:extLst>
              <a:ext uri="{FF2B5EF4-FFF2-40B4-BE49-F238E27FC236}">
                <a16:creationId xmlns:a16="http://schemas.microsoft.com/office/drawing/2014/main" id="{CF6C0F22-981B-AAF6-2DE6-34D5A202B52D}"/>
              </a:ext>
            </a:extLst>
          </xdr:cNvPr>
          <xdr:cNvGrpSpPr/>
        </xdr:nvGrpSpPr>
        <xdr:grpSpPr>
          <a:xfrm>
            <a:off x="2752725" y="4191000"/>
            <a:ext cx="1219200" cy="1106625"/>
            <a:chOff x="2628900" y="4162425"/>
            <a:chExt cx="1219200" cy="1106625"/>
          </a:xfrm>
        </xdr:grpSpPr>
        <xdr:sp macro="" textlink="">
          <xdr:nvSpPr>
            <xdr:cNvPr id="13" name="Metin kutusu 12">
              <a:extLst>
                <a:ext uri="{FF2B5EF4-FFF2-40B4-BE49-F238E27FC236}">
                  <a16:creationId xmlns:a16="http://schemas.microsoft.com/office/drawing/2014/main" id="{84718F7A-B145-876C-D1D7-FC59EBD29805}"/>
                </a:ext>
              </a:extLst>
            </xdr:cNvPr>
            <xdr:cNvSpPr txBox="1"/>
          </xdr:nvSpPr>
          <xdr:spPr>
            <a:xfrm>
              <a:off x="2628900" y="4162425"/>
              <a:ext cx="1219200" cy="523875"/>
            </a:xfrm>
            <a:prstGeom prst="rect">
              <a:avLst/>
            </a:prstGeom>
            <a:gradFill flip="none" rotWithShape="1">
              <a:gsLst>
                <a:gs pos="0">
                  <a:schemeClr val="accent1">
                    <a:lumMod val="20000"/>
                    <a:lumOff val="80000"/>
                  </a:schemeClr>
                </a:gs>
                <a:gs pos="100000">
                  <a:schemeClr val="lt1">
                    <a:shade val="100000"/>
                    <a:satMod val="115000"/>
                  </a:schemeClr>
                </a:gs>
              </a:gsLst>
              <a:path path="circle">
                <a:fillToRect t="100000" r="100000"/>
              </a:path>
              <a:tileRect l="-100000" b="-100000"/>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1000"/>
                <a:t>YIKAMA (Otomatik)</a:t>
              </a:r>
              <a:endParaRPr lang="en-US" sz="1000"/>
            </a:p>
          </xdr:txBody>
        </xdr:sp>
        <xdr:sp macro="" textlink="">
          <xdr:nvSpPr>
            <xdr:cNvPr id="14" name="Metin kutusu 13">
              <a:extLst>
                <a:ext uri="{FF2B5EF4-FFF2-40B4-BE49-F238E27FC236}">
                  <a16:creationId xmlns:a16="http://schemas.microsoft.com/office/drawing/2014/main" id="{BF3C4FBE-6824-A384-AA53-7F904A86A436}"/>
                </a:ext>
              </a:extLst>
            </xdr:cNvPr>
            <xdr:cNvSpPr txBox="1"/>
          </xdr:nvSpPr>
          <xdr:spPr>
            <a:xfrm>
              <a:off x="2628900" y="4743450"/>
              <a:ext cx="1219200" cy="525600"/>
            </a:xfrm>
            <a:prstGeom prst="rect">
              <a:avLst/>
            </a:prstGeom>
            <a:gradFill>
              <a:gsLst>
                <a:gs pos="0">
                  <a:schemeClr val="accent6">
                    <a:lumMod val="60000"/>
                    <a:lumOff val="40000"/>
                  </a:schemeClr>
                </a:gs>
                <a:gs pos="100000">
                  <a:schemeClr val="lt1">
                    <a:shade val="100000"/>
                    <a:satMod val="115000"/>
                  </a:schemeClr>
                </a:gs>
              </a:gsLst>
              <a:path path="circle">
                <a:fillToRect t="100000" r="100000"/>
              </a:path>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1000"/>
                <a:t>YIKAMA( Manuel )</a:t>
              </a:r>
              <a:endParaRPr lang="en-US" sz="1000"/>
            </a:p>
          </xdr:txBody>
        </xdr:sp>
      </xdr:grpSp>
      <xdr:cxnSp macro="">
        <xdr:nvCxnSpPr>
          <xdr:cNvPr id="11" name="Düz Ok Bağlayıcısı 10">
            <a:extLst>
              <a:ext uri="{FF2B5EF4-FFF2-40B4-BE49-F238E27FC236}">
                <a16:creationId xmlns:a16="http://schemas.microsoft.com/office/drawing/2014/main" id="{94C41F35-6638-BA42-AD9C-F7DAECC9DCF1}"/>
              </a:ext>
            </a:extLst>
          </xdr:cNvPr>
          <xdr:cNvCxnSpPr>
            <a:stCxn id="9" idx="3"/>
            <a:endCxn id="13" idx="1"/>
          </xdr:cNvCxnSpPr>
        </xdr:nvCxnSpPr>
        <xdr:spPr>
          <a:xfrm flipV="1">
            <a:off x="2181225" y="4452938"/>
            <a:ext cx="571500" cy="3143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2" name="Düz Ok Bağlayıcısı 11">
            <a:extLst>
              <a:ext uri="{FF2B5EF4-FFF2-40B4-BE49-F238E27FC236}">
                <a16:creationId xmlns:a16="http://schemas.microsoft.com/office/drawing/2014/main" id="{F880815F-1FCF-536F-8E24-B715C26CCB87}"/>
              </a:ext>
            </a:extLst>
          </xdr:cNvPr>
          <xdr:cNvCxnSpPr>
            <a:stCxn id="9" idx="3"/>
            <a:endCxn id="14" idx="1"/>
          </xdr:cNvCxnSpPr>
        </xdr:nvCxnSpPr>
        <xdr:spPr>
          <a:xfrm>
            <a:off x="2181225" y="4767263"/>
            <a:ext cx="571500" cy="26756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wsDr>
</file>

<file path=xl/drawings/drawing4.xml><?xml version="1.0" encoding="utf-8"?>
<xdr:wsDr xmlns:xdr="http://schemas.openxmlformats.org/drawingml/2006/spreadsheetDrawing" xmlns:a="http://schemas.openxmlformats.org/drawingml/2006/main">
  <xdr:oneCellAnchor>
    <xdr:from>
      <xdr:col>5</xdr:col>
      <xdr:colOff>171450</xdr:colOff>
      <xdr:row>5</xdr:row>
      <xdr:rowOff>114300</xdr:rowOff>
    </xdr:from>
    <xdr:ext cx="634854" cy="252120"/>
    <mc:AlternateContent xmlns:mc="http://schemas.openxmlformats.org/markup-compatibility/2006" xmlns:a14="http://schemas.microsoft.com/office/drawing/2010/main">
      <mc:Choice Requires="a14">
        <xdr:sp macro="" textlink="">
          <xdr:nvSpPr>
            <xdr:cNvPr id="2" name="Metin kutusu 1">
              <a:extLst>
                <a:ext uri="{FF2B5EF4-FFF2-40B4-BE49-F238E27FC236}">
                  <a16:creationId xmlns:a16="http://schemas.microsoft.com/office/drawing/2014/main" id="{E5D5A5F7-DCE1-4F96-BC02-A8D0083EC175}"/>
                </a:ext>
              </a:extLst>
            </xdr:cNvPr>
            <xdr:cNvSpPr txBox="1"/>
          </xdr:nvSpPr>
          <xdr:spPr>
            <a:xfrm>
              <a:off x="5467350" y="5695950"/>
              <a:ext cx="634854" cy="252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tr-TR" sz="800" b="0" i="1">
                        <a:latin typeface="Cambria Math" panose="02040503050406030204" pitchFamily="18" charset="0"/>
                      </a:rPr>
                      <m:t>𝑃</m:t>
                    </m:r>
                    <m:r>
                      <a:rPr lang="tr-TR" sz="800" b="0" i="1">
                        <a:latin typeface="Cambria Math" panose="02040503050406030204" pitchFamily="18" charset="0"/>
                      </a:rPr>
                      <m:t>=</m:t>
                    </m:r>
                    <m:f>
                      <m:fPr>
                        <m:ctrlPr>
                          <a:rPr lang="tr-TR" sz="800" b="0" i="1">
                            <a:latin typeface="Cambria Math" panose="02040503050406030204" pitchFamily="18" charset="0"/>
                          </a:rPr>
                        </m:ctrlPr>
                      </m:fPr>
                      <m:num>
                        <m:r>
                          <a:rPr lang="tr-TR" sz="800" b="0" i="1">
                            <a:latin typeface="Cambria Math" panose="02040503050406030204" pitchFamily="18" charset="0"/>
                          </a:rPr>
                          <m:t>𝐶𝑎𝑝𝑎𝑐𝑖𝑡𝑦</m:t>
                        </m:r>
                      </m:num>
                      <m:den>
                        <m:r>
                          <a:rPr lang="en-US" sz="800" b="0" i="1">
                            <a:latin typeface="Cambria Math" panose="02040503050406030204" pitchFamily="18" charset="0"/>
                            <a:ea typeface="Cambria Math" panose="02040503050406030204" pitchFamily="18" charset="0"/>
                          </a:rPr>
                          <m:t>𝜂</m:t>
                        </m:r>
                      </m:den>
                    </m:f>
                  </m:oMath>
                </m:oMathPara>
              </a14:m>
              <a:endParaRPr lang="en-US" sz="800"/>
            </a:p>
          </xdr:txBody>
        </xdr:sp>
      </mc:Choice>
      <mc:Fallback xmlns="">
        <xdr:sp macro="" textlink="">
          <xdr:nvSpPr>
            <xdr:cNvPr id="2" name="Metin kutusu 1">
              <a:extLst>
                <a:ext uri="{FF2B5EF4-FFF2-40B4-BE49-F238E27FC236}">
                  <a16:creationId xmlns:a16="http://schemas.microsoft.com/office/drawing/2014/main" id="{E5D5A5F7-DCE1-4F96-BC02-A8D0083EC175}"/>
                </a:ext>
              </a:extLst>
            </xdr:cNvPr>
            <xdr:cNvSpPr txBox="1"/>
          </xdr:nvSpPr>
          <xdr:spPr>
            <a:xfrm>
              <a:off x="5467350" y="5695950"/>
              <a:ext cx="634854" cy="252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tr-TR" sz="800" b="0" i="0">
                  <a:latin typeface="Cambria Math" panose="02040503050406030204" pitchFamily="18" charset="0"/>
                </a:rPr>
                <a:t>𝑃=𝐶𝑎𝑝𝑎𝑐𝑖𝑡𝑦</a:t>
              </a:r>
              <a:r>
                <a:rPr lang="en-US" sz="800" b="0" i="0">
                  <a:latin typeface="Cambria Math" panose="02040503050406030204" pitchFamily="18" charset="0"/>
                </a:rPr>
                <a:t>/</a:t>
              </a:r>
              <a:r>
                <a:rPr lang="en-US" sz="800" b="0" i="0">
                  <a:latin typeface="Cambria Math" panose="02040503050406030204" pitchFamily="18" charset="0"/>
                  <a:ea typeface="Cambria Math" panose="02040503050406030204" pitchFamily="18" charset="0"/>
                </a:rPr>
                <a:t>𝜂</a:t>
              </a:r>
              <a:endParaRPr lang="en-US" sz="800"/>
            </a:p>
          </xdr:txBody>
        </xdr:sp>
      </mc:Fallback>
    </mc:AlternateContent>
    <xdr:clientData/>
  </xdr:oneCellAnchor>
  <xdr:oneCellAnchor>
    <xdr:from>
      <xdr:col>7</xdr:col>
      <xdr:colOff>247650</xdr:colOff>
      <xdr:row>5</xdr:row>
      <xdr:rowOff>104775</xdr:rowOff>
    </xdr:from>
    <xdr:ext cx="433965" cy="251223"/>
    <mc:AlternateContent xmlns:mc="http://schemas.openxmlformats.org/markup-compatibility/2006" xmlns:a14="http://schemas.microsoft.com/office/drawing/2010/main">
      <mc:Choice Requires="a14">
        <xdr:sp macro="" textlink="">
          <xdr:nvSpPr>
            <xdr:cNvPr id="3" name="Metin kutusu 2">
              <a:extLst>
                <a:ext uri="{FF2B5EF4-FFF2-40B4-BE49-F238E27FC236}">
                  <a16:creationId xmlns:a16="http://schemas.microsoft.com/office/drawing/2014/main" id="{F52B2888-B61C-4F1A-BF64-A5776CD4D02E}"/>
                </a:ext>
              </a:extLst>
            </xdr:cNvPr>
            <xdr:cNvSpPr txBox="1"/>
          </xdr:nvSpPr>
          <xdr:spPr>
            <a:xfrm>
              <a:off x="7505700" y="5686425"/>
              <a:ext cx="433965" cy="2512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tr-TR" sz="800" b="0" i="1">
                        <a:latin typeface="Cambria Math" panose="02040503050406030204" pitchFamily="18" charset="0"/>
                      </a:rPr>
                      <m:t>𝑆</m:t>
                    </m:r>
                    <m:r>
                      <a:rPr lang="tr-TR" sz="800" b="0" i="1">
                        <a:latin typeface="Cambria Math" panose="02040503050406030204" pitchFamily="18" charset="0"/>
                      </a:rPr>
                      <m:t>=</m:t>
                    </m:r>
                    <m:f>
                      <m:fPr>
                        <m:ctrlPr>
                          <a:rPr lang="tr-TR" sz="800" b="0" i="1">
                            <a:latin typeface="Cambria Math" panose="02040503050406030204" pitchFamily="18" charset="0"/>
                          </a:rPr>
                        </m:ctrlPr>
                      </m:fPr>
                      <m:num>
                        <m:r>
                          <a:rPr lang="tr-TR" sz="800" b="0" i="1">
                            <a:latin typeface="Cambria Math" panose="02040503050406030204" pitchFamily="18" charset="0"/>
                          </a:rPr>
                          <m:t>𝑃</m:t>
                        </m:r>
                      </m:num>
                      <m:den>
                        <m:r>
                          <a:rPr lang="tr-TR" sz="800" b="0" i="1">
                            <a:latin typeface="Cambria Math" panose="02040503050406030204" pitchFamily="18" charset="0"/>
                          </a:rPr>
                          <m:t>𝑐𝑜𝑠</m:t>
                        </m:r>
                        <m:r>
                          <a:rPr lang="tr-TR" sz="800" b="0" i="1">
                            <a:latin typeface="Cambria Math" panose="02040503050406030204" pitchFamily="18" charset="0"/>
                            <a:ea typeface="Cambria Math" panose="02040503050406030204" pitchFamily="18" charset="0"/>
                          </a:rPr>
                          <m:t>𝜑</m:t>
                        </m:r>
                      </m:den>
                    </m:f>
                  </m:oMath>
                </m:oMathPara>
              </a14:m>
              <a:endParaRPr lang="en-US" sz="800"/>
            </a:p>
          </xdr:txBody>
        </xdr:sp>
      </mc:Choice>
      <mc:Fallback xmlns="">
        <xdr:sp macro="" textlink="">
          <xdr:nvSpPr>
            <xdr:cNvPr id="3" name="Metin kutusu 2">
              <a:extLst>
                <a:ext uri="{FF2B5EF4-FFF2-40B4-BE49-F238E27FC236}">
                  <a16:creationId xmlns:a16="http://schemas.microsoft.com/office/drawing/2014/main" id="{F52B2888-B61C-4F1A-BF64-A5776CD4D02E}"/>
                </a:ext>
              </a:extLst>
            </xdr:cNvPr>
            <xdr:cNvSpPr txBox="1"/>
          </xdr:nvSpPr>
          <xdr:spPr>
            <a:xfrm>
              <a:off x="7505700" y="5686425"/>
              <a:ext cx="433965" cy="2512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tr-TR" sz="800" b="0" i="0">
                  <a:latin typeface="Cambria Math" panose="02040503050406030204" pitchFamily="18" charset="0"/>
                </a:rPr>
                <a:t>𝑆=𝑃</a:t>
              </a:r>
              <a:r>
                <a:rPr lang="en-US" sz="800" b="0" i="0">
                  <a:latin typeface="Cambria Math" panose="02040503050406030204" pitchFamily="18" charset="0"/>
                </a:rPr>
                <a:t>/</a:t>
              </a:r>
              <a:r>
                <a:rPr lang="tr-TR" sz="800" b="0" i="0">
                  <a:latin typeface="Cambria Math" panose="02040503050406030204" pitchFamily="18" charset="0"/>
                </a:rPr>
                <a:t>𝑐𝑜𝑠</a:t>
              </a:r>
              <a:r>
                <a:rPr lang="tr-TR" sz="800" b="0" i="0">
                  <a:latin typeface="Cambria Math" panose="02040503050406030204" pitchFamily="18" charset="0"/>
                  <a:ea typeface="Cambria Math" panose="02040503050406030204" pitchFamily="18" charset="0"/>
                </a:rPr>
                <a:t>𝜑</a:t>
              </a:r>
              <a:endParaRPr lang="en-US" sz="800"/>
            </a:p>
          </xdr:txBody>
        </xdr:sp>
      </mc:Fallback>
    </mc:AlternateContent>
    <xdr:clientData/>
  </xdr:oneCellAnchor>
  <xdr:oneCellAnchor>
    <xdr:from>
      <xdr:col>6</xdr:col>
      <xdr:colOff>152400</xdr:colOff>
      <xdr:row>5</xdr:row>
      <xdr:rowOff>142875</xdr:rowOff>
    </xdr:from>
    <xdr:ext cx="733598" cy="151388"/>
    <mc:AlternateContent xmlns:mc="http://schemas.openxmlformats.org/markup-compatibility/2006" xmlns:a14="http://schemas.microsoft.com/office/drawing/2010/main">
      <mc:Choice Requires="a14">
        <xdr:sp macro="" textlink="">
          <xdr:nvSpPr>
            <xdr:cNvPr id="4" name="Metin kutusu 3">
              <a:extLst>
                <a:ext uri="{FF2B5EF4-FFF2-40B4-BE49-F238E27FC236}">
                  <a16:creationId xmlns:a16="http://schemas.microsoft.com/office/drawing/2014/main" id="{7AAA785B-C95B-448A-9722-8F819B4EC103}"/>
                </a:ext>
              </a:extLst>
            </xdr:cNvPr>
            <xdr:cNvSpPr txBox="1"/>
          </xdr:nvSpPr>
          <xdr:spPr>
            <a:xfrm>
              <a:off x="6429375" y="5724525"/>
              <a:ext cx="733598" cy="151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tr-TR" sz="800" b="0" i="1">
                        <a:latin typeface="Cambria Math" panose="02040503050406030204" pitchFamily="18" charset="0"/>
                      </a:rPr>
                      <m:t>𝑄</m:t>
                    </m:r>
                    <m:r>
                      <a:rPr lang="tr-TR" sz="800" b="0" i="1">
                        <a:latin typeface="Cambria Math" panose="02040503050406030204" pitchFamily="18" charset="0"/>
                      </a:rPr>
                      <m:t>=</m:t>
                    </m:r>
                    <m:rad>
                      <m:radPr>
                        <m:degHide m:val="on"/>
                        <m:ctrlPr>
                          <a:rPr lang="en-US" sz="800" b="0" i="1">
                            <a:latin typeface="Cambria Math" panose="02040503050406030204" pitchFamily="18" charset="0"/>
                          </a:rPr>
                        </m:ctrlPr>
                      </m:radPr>
                      <m:deg/>
                      <m:e>
                        <m:r>
                          <a:rPr lang="tr-TR" sz="800" b="0" i="1">
                            <a:latin typeface="Cambria Math" panose="02040503050406030204" pitchFamily="18" charset="0"/>
                          </a:rPr>
                          <m:t>(</m:t>
                        </m:r>
                        <m:sSup>
                          <m:sSupPr>
                            <m:ctrlPr>
                              <a:rPr lang="tr-TR" sz="800" b="0" i="1">
                                <a:latin typeface="Cambria Math" panose="02040503050406030204" pitchFamily="18" charset="0"/>
                              </a:rPr>
                            </m:ctrlPr>
                          </m:sSupPr>
                          <m:e>
                            <m:r>
                              <a:rPr lang="tr-TR" sz="800" b="0" i="1">
                                <a:latin typeface="Cambria Math" panose="02040503050406030204" pitchFamily="18" charset="0"/>
                              </a:rPr>
                              <m:t>𝑆</m:t>
                            </m:r>
                          </m:e>
                          <m:sup>
                            <m:r>
                              <a:rPr lang="tr-TR" sz="800" b="0" i="1">
                                <a:latin typeface="Cambria Math" panose="02040503050406030204" pitchFamily="18" charset="0"/>
                              </a:rPr>
                              <m:t>2</m:t>
                            </m:r>
                          </m:sup>
                        </m:sSup>
                        <m:r>
                          <a:rPr lang="tr-TR" sz="800" b="0" i="1">
                            <a:latin typeface="Cambria Math" panose="02040503050406030204" pitchFamily="18" charset="0"/>
                          </a:rPr>
                          <m:t>−</m:t>
                        </m:r>
                        <m:sSup>
                          <m:sSupPr>
                            <m:ctrlPr>
                              <a:rPr lang="tr-TR" sz="800" b="0" i="1">
                                <a:latin typeface="Cambria Math" panose="02040503050406030204" pitchFamily="18" charset="0"/>
                              </a:rPr>
                            </m:ctrlPr>
                          </m:sSupPr>
                          <m:e>
                            <m:r>
                              <a:rPr lang="tr-TR" sz="800" b="0" i="1">
                                <a:latin typeface="Cambria Math" panose="02040503050406030204" pitchFamily="18" charset="0"/>
                              </a:rPr>
                              <m:t>𝑃</m:t>
                            </m:r>
                          </m:e>
                          <m:sup>
                            <m:r>
                              <a:rPr lang="tr-TR" sz="800" b="0" i="1">
                                <a:latin typeface="Cambria Math" panose="02040503050406030204" pitchFamily="18" charset="0"/>
                              </a:rPr>
                              <m:t>2</m:t>
                            </m:r>
                          </m:sup>
                        </m:sSup>
                        <m:r>
                          <a:rPr lang="tr-TR" sz="800" b="0" i="1">
                            <a:latin typeface="Cambria Math" panose="02040503050406030204" pitchFamily="18" charset="0"/>
                          </a:rPr>
                          <m:t>)</m:t>
                        </m:r>
                      </m:e>
                    </m:rad>
                  </m:oMath>
                </m:oMathPara>
              </a14:m>
              <a:endParaRPr lang="en-US" sz="800"/>
            </a:p>
          </xdr:txBody>
        </xdr:sp>
      </mc:Choice>
      <mc:Fallback xmlns="">
        <xdr:sp macro="" textlink="">
          <xdr:nvSpPr>
            <xdr:cNvPr id="4" name="Metin kutusu 3">
              <a:extLst>
                <a:ext uri="{FF2B5EF4-FFF2-40B4-BE49-F238E27FC236}">
                  <a16:creationId xmlns:a16="http://schemas.microsoft.com/office/drawing/2014/main" id="{7AAA785B-C95B-448A-9722-8F819B4EC103}"/>
                </a:ext>
              </a:extLst>
            </xdr:cNvPr>
            <xdr:cNvSpPr txBox="1"/>
          </xdr:nvSpPr>
          <xdr:spPr>
            <a:xfrm>
              <a:off x="6429375" y="5724525"/>
              <a:ext cx="733598" cy="151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tr-TR" sz="800" b="0" i="0">
                  <a:latin typeface="Cambria Math" panose="02040503050406030204" pitchFamily="18" charset="0"/>
                </a:rPr>
                <a:t>𝑄=</a:t>
              </a:r>
              <a:r>
                <a:rPr lang="en-US" sz="800" b="0" i="0">
                  <a:latin typeface="Cambria Math" panose="02040503050406030204" pitchFamily="18" charset="0"/>
                </a:rPr>
                <a:t>√(</a:t>
              </a:r>
              <a:r>
                <a:rPr lang="tr-TR" sz="800" b="0" i="0">
                  <a:latin typeface="Cambria Math" panose="02040503050406030204" pitchFamily="18" charset="0"/>
                </a:rPr>
                <a:t>(𝑆</a:t>
              </a:r>
              <a:r>
                <a:rPr lang="en-US" sz="800" b="0" i="0">
                  <a:latin typeface="Cambria Math" panose="02040503050406030204" pitchFamily="18" charset="0"/>
                </a:rPr>
                <a:t>^</a:t>
              </a:r>
              <a:r>
                <a:rPr lang="tr-TR" sz="800" b="0" i="0">
                  <a:latin typeface="Cambria Math" panose="02040503050406030204" pitchFamily="18" charset="0"/>
                </a:rPr>
                <a:t>2−𝑃</a:t>
              </a:r>
              <a:r>
                <a:rPr lang="en-US" sz="800" b="0" i="0">
                  <a:latin typeface="Cambria Math" panose="02040503050406030204" pitchFamily="18" charset="0"/>
                </a:rPr>
                <a:t>^</a:t>
              </a:r>
              <a:r>
                <a:rPr lang="tr-TR" sz="800" b="0" i="0">
                  <a:latin typeface="Cambria Math" panose="02040503050406030204" pitchFamily="18" charset="0"/>
                </a:rPr>
                <a:t>2)</a:t>
              </a:r>
              <a:r>
                <a:rPr lang="en-US" sz="800" b="0" i="0">
                  <a:latin typeface="Cambria Math" panose="02040503050406030204" pitchFamily="18" charset="0"/>
                </a:rPr>
                <a:t>)</a:t>
              </a:r>
              <a:endParaRPr lang="en-US" sz="800"/>
            </a:p>
          </xdr:txBody>
        </xdr:sp>
      </mc:Fallback>
    </mc:AlternateContent>
    <xdr:clientData/>
  </xdr:oneCellAnchor>
  <xdr:oneCellAnchor>
    <xdr:from>
      <xdr:col>9</xdr:col>
      <xdr:colOff>38100</xdr:colOff>
      <xdr:row>5</xdr:row>
      <xdr:rowOff>95250</xdr:rowOff>
    </xdr:from>
    <xdr:ext cx="899412" cy="266548"/>
    <mc:AlternateContent xmlns:mc="http://schemas.openxmlformats.org/markup-compatibility/2006" xmlns:a14="http://schemas.microsoft.com/office/drawing/2010/main">
      <mc:Choice Requires="a14">
        <xdr:sp macro="" textlink="">
          <xdr:nvSpPr>
            <xdr:cNvPr id="5" name="Metin kutusu 4">
              <a:extLst>
                <a:ext uri="{FF2B5EF4-FFF2-40B4-BE49-F238E27FC236}">
                  <a16:creationId xmlns:a16="http://schemas.microsoft.com/office/drawing/2014/main" id="{FD88DC29-64E9-4745-876E-B82EAA436AF8}"/>
                </a:ext>
              </a:extLst>
            </xdr:cNvPr>
            <xdr:cNvSpPr txBox="1"/>
          </xdr:nvSpPr>
          <xdr:spPr>
            <a:xfrm>
              <a:off x="9344025" y="5676900"/>
              <a:ext cx="899412" cy="2665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tr-TR" sz="800" b="0" i="1">
                            <a:latin typeface="Cambria Math" panose="02040503050406030204" pitchFamily="18" charset="0"/>
                          </a:rPr>
                        </m:ctrlPr>
                      </m:sSubPr>
                      <m:e>
                        <m:r>
                          <a:rPr lang="tr-TR" sz="800" b="0" i="1">
                            <a:latin typeface="Cambria Math" panose="02040503050406030204" pitchFamily="18" charset="0"/>
                          </a:rPr>
                          <m:t>𝐼</m:t>
                        </m:r>
                      </m:e>
                      <m:sub>
                        <m:r>
                          <a:rPr lang="tr-TR" sz="800" b="0" i="1">
                            <a:latin typeface="Cambria Math" panose="02040503050406030204" pitchFamily="18" charset="0"/>
                          </a:rPr>
                          <m:t>𝑛</m:t>
                        </m:r>
                      </m:sub>
                    </m:sSub>
                    <m:r>
                      <a:rPr lang="tr-TR" sz="800" b="0" i="1">
                        <a:latin typeface="Cambria Math" panose="02040503050406030204" pitchFamily="18" charset="0"/>
                      </a:rPr>
                      <m:t>=</m:t>
                    </m:r>
                    <m:f>
                      <m:fPr>
                        <m:ctrlPr>
                          <a:rPr lang="tr-TR" sz="800" b="0" i="1">
                            <a:latin typeface="Cambria Math" panose="02040503050406030204" pitchFamily="18" charset="0"/>
                          </a:rPr>
                        </m:ctrlPr>
                      </m:fPr>
                      <m:num>
                        <m:r>
                          <a:rPr lang="tr-TR" sz="800" b="0" i="1">
                            <a:latin typeface="Cambria Math" panose="02040503050406030204" pitchFamily="18" charset="0"/>
                          </a:rPr>
                          <m:t>𝑃</m:t>
                        </m:r>
                      </m:num>
                      <m:den>
                        <m:r>
                          <a:rPr lang="tr-TR" sz="800" b="0" i="1">
                            <a:latin typeface="Cambria Math" panose="02040503050406030204" pitchFamily="18" charset="0"/>
                          </a:rPr>
                          <m:t>𝑈</m:t>
                        </m:r>
                        <m:r>
                          <a:rPr lang="tr-TR" sz="800" b="0" i="1">
                            <a:latin typeface="Cambria Math" panose="02040503050406030204" pitchFamily="18" charset="0"/>
                            <a:ea typeface="Cambria Math" panose="02040503050406030204" pitchFamily="18" charset="0"/>
                          </a:rPr>
                          <m:t>×</m:t>
                        </m:r>
                        <m:rad>
                          <m:radPr>
                            <m:degHide m:val="on"/>
                            <m:ctrlPr>
                              <a:rPr lang="en-US" sz="800" b="0" i="1">
                                <a:latin typeface="Cambria Math" panose="02040503050406030204" pitchFamily="18" charset="0"/>
                                <a:ea typeface="Cambria Math" panose="02040503050406030204" pitchFamily="18" charset="0"/>
                              </a:rPr>
                            </m:ctrlPr>
                          </m:radPr>
                          <m:deg/>
                          <m:e>
                            <m:r>
                              <a:rPr lang="tr-TR" sz="800" b="0" i="1">
                                <a:latin typeface="Cambria Math" panose="02040503050406030204" pitchFamily="18" charset="0"/>
                                <a:ea typeface="Cambria Math" panose="02040503050406030204" pitchFamily="18" charset="0"/>
                              </a:rPr>
                              <m:t>3</m:t>
                            </m:r>
                          </m:e>
                        </m:rad>
                        <m:r>
                          <a:rPr lang="en-US" sz="800" b="0" i="1">
                            <a:latin typeface="Cambria Math" panose="02040503050406030204" pitchFamily="18" charset="0"/>
                            <a:ea typeface="Cambria Math" panose="02040503050406030204" pitchFamily="18" charset="0"/>
                          </a:rPr>
                          <m:t>×</m:t>
                        </m:r>
                        <m:r>
                          <a:rPr lang="tr-TR" sz="800" b="0" i="1">
                            <a:latin typeface="Cambria Math" panose="02040503050406030204" pitchFamily="18" charset="0"/>
                            <a:ea typeface="Cambria Math" panose="02040503050406030204" pitchFamily="18" charset="0"/>
                          </a:rPr>
                          <m:t>𝑐𝑜𝑠</m:t>
                        </m:r>
                        <m:r>
                          <a:rPr lang="tr-TR" sz="800" b="0" i="1">
                            <a:latin typeface="Cambria Math" panose="02040503050406030204" pitchFamily="18" charset="0"/>
                            <a:ea typeface="Cambria Math" panose="02040503050406030204" pitchFamily="18" charset="0"/>
                          </a:rPr>
                          <m:t>𝜑</m:t>
                        </m:r>
                      </m:den>
                    </m:f>
                  </m:oMath>
                </m:oMathPara>
              </a14:m>
              <a:endParaRPr lang="en-US" sz="800"/>
            </a:p>
          </xdr:txBody>
        </xdr:sp>
      </mc:Choice>
      <mc:Fallback xmlns="">
        <xdr:sp macro="" textlink="">
          <xdr:nvSpPr>
            <xdr:cNvPr id="5" name="Metin kutusu 4">
              <a:extLst>
                <a:ext uri="{FF2B5EF4-FFF2-40B4-BE49-F238E27FC236}">
                  <a16:creationId xmlns:a16="http://schemas.microsoft.com/office/drawing/2014/main" id="{FD88DC29-64E9-4745-876E-B82EAA436AF8}"/>
                </a:ext>
              </a:extLst>
            </xdr:cNvPr>
            <xdr:cNvSpPr txBox="1"/>
          </xdr:nvSpPr>
          <xdr:spPr>
            <a:xfrm>
              <a:off x="9344025" y="5676900"/>
              <a:ext cx="899412" cy="2665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tr-TR" sz="800" b="0" i="0">
                  <a:latin typeface="Cambria Math" panose="02040503050406030204" pitchFamily="18" charset="0"/>
                </a:rPr>
                <a:t>𝐼</a:t>
              </a:r>
              <a:r>
                <a:rPr lang="en-US" sz="800" b="0" i="0">
                  <a:latin typeface="Cambria Math" panose="02040503050406030204" pitchFamily="18" charset="0"/>
                </a:rPr>
                <a:t>_</a:t>
              </a:r>
              <a:r>
                <a:rPr lang="tr-TR" sz="800" b="0" i="0">
                  <a:latin typeface="Cambria Math" panose="02040503050406030204" pitchFamily="18" charset="0"/>
                </a:rPr>
                <a:t>𝑛=𝑃</a:t>
              </a:r>
              <a:r>
                <a:rPr lang="en-US" sz="800" b="0" i="0">
                  <a:latin typeface="Cambria Math" panose="02040503050406030204" pitchFamily="18" charset="0"/>
                </a:rPr>
                <a:t>/(</a:t>
              </a:r>
              <a:r>
                <a:rPr lang="tr-TR" sz="800" b="0" i="0">
                  <a:latin typeface="Cambria Math" panose="02040503050406030204" pitchFamily="18" charset="0"/>
                </a:rPr>
                <a:t>𝑈</a:t>
              </a:r>
              <a:r>
                <a:rPr lang="tr-TR" sz="800" b="0" i="0">
                  <a:latin typeface="Cambria Math" panose="02040503050406030204" pitchFamily="18" charset="0"/>
                  <a:ea typeface="Cambria Math" panose="02040503050406030204" pitchFamily="18" charset="0"/>
                </a:rPr>
                <a:t>×</a:t>
              </a:r>
              <a:r>
                <a:rPr lang="en-US" sz="800" b="0" i="0">
                  <a:latin typeface="Cambria Math" panose="02040503050406030204" pitchFamily="18" charset="0"/>
                  <a:ea typeface="Cambria Math" panose="02040503050406030204" pitchFamily="18" charset="0"/>
                </a:rPr>
                <a:t>√</a:t>
              </a:r>
              <a:r>
                <a:rPr lang="tr-TR" sz="800" b="0" i="0">
                  <a:latin typeface="Cambria Math" panose="02040503050406030204" pitchFamily="18" charset="0"/>
                  <a:ea typeface="Cambria Math" panose="02040503050406030204" pitchFamily="18" charset="0"/>
                </a:rPr>
                <a:t>3</a:t>
              </a:r>
              <a:r>
                <a:rPr lang="en-US" sz="800" b="0" i="0">
                  <a:latin typeface="Cambria Math" panose="02040503050406030204" pitchFamily="18" charset="0"/>
                  <a:ea typeface="Cambria Math" panose="02040503050406030204" pitchFamily="18" charset="0"/>
                </a:rPr>
                <a:t>×</a:t>
              </a:r>
              <a:r>
                <a:rPr lang="tr-TR" sz="800" b="0" i="0">
                  <a:latin typeface="Cambria Math" panose="02040503050406030204" pitchFamily="18" charset="0"/>
                  <a:ea typeface="Cambria Math" panose="02040503050406030204" pitchFamily="18" charset="0"/>
                </a:rPr>
                <a:t>𝑐𝑜𝑠𝜑</a:t>
              </a:r>
              <a:r>
                <a:rPr lang="en-US" sz="800" b="0" i="0">
                  <a:latin typeface="Cambria Math" panose="02040503050406030204" pitchFamily="18" charset="0"/>
                  <a:ea typeface="Cambria Math" panose="02040503050406030204" pitchFamily="18" charset="0"/>
                </a:rPr>
                <a:t>)</a:t>
              </a:r>
              <a:endParaRPr lang="en-US" sz="800"/>
            </a:p>
          </xdr:txBody>
        </xdr:sp>
      </mc:Fallback>
    </mc:AlternateContent>
    <xdr:clientData/>
  </xdr:oneCellAnchor>
  <xdr:oneCellAnchor>
    <xdr:from>
      <xdr:col>0</xdr:col>
      <xdr:colOff>0</xdr:colOff>
      <xdr:row>0</xdr:row>
      <xdr:rowOff>0</xdr:rowOff>
    </xdr:from>
    <xdr:ext cx="5775299" cy="593239"/>
    <xdr:sp macro="" textlink="">
      <xdr:nvSpPr>
        <xdr:cNvPr id="6" name="Dikdörtgen 5">
          <a:extLst>
            <a:ext uri="{FF2B5EF4-FFF2-40B4-BE49-F238E27FC236}">
              <a16:creationId xmlns:a16="http://schemas.microsoft.com/office/drawing/2014/main" id="{9B4B1422-7627-43E2-BDB3-FAAB0168D95C}"/>
            </a:ext>
          </a:extLst>
        </xdr:cNvPr>
        <xdr:cNvSpPr/>
      </xdr:nvSpPr>
      <xdr:spPr>
        <a:xfrm>
          <a:off x="0" y="0"/>
          <a:ext cx="5775299" cy="593239"/>
        </a:xfrm>
        <a:prstGeom prst="rect">
          <a:avLst/>
        </a:prstGeom>
        <a:noFill/>
      </xdr:spPr>
      <xdr:txBody>
        <a:bodyPr wrap="none" lIns="91440" tIns="45720" rIns="91440" bIns="45720">
          <a:spAutoFit/>
        </a:bodyPr>
        <a:lstStyle/>
        <a:p>
          <a:pPr algn="ctr"/>
          <a:r>
            <a:rPr lang="tr-TR" sz="32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ptos Display" panose="020B0004020202020204" pitchFamily="34" charset="0"/>
            </a:rPr>
            <a:t>Anma Akımı Hesaplama Raporu </a:t>
          </a:r>
        </a:p>
      </xdr:txBody>
    </xdr:sp>
    <xdr:clientData/>
  </xdr:oneCellAnchor>
  <xdr:twoCellAnchor editAs="oneCell">
    <xdr:from>
      <xdr:col>8</xdr:col>
      <xdr:colOff>542925</xdr:colOff>
      <xdr:row>0</xdr:row>
      <xdr:rowOff>76201</xdr:rowOff>
    </xdr:from>
    <xdr:to>
      <xdr:col>9</xdr:col>
      <xdr:colOff>854977</xdr:colOff>
      <xdr:row>0</xdr:row>
      <xdr:rowOff>537265</xdr:rowOff>
    </xdr:to>
    <xdr:pic>
      <xdr:nvPicPr>
        <xdr:cNvPr id="7" name="Resim 6">
          <a:extLst>
            <a:ext uri="{FF2B5EF4-FFF2-40B4-BE49-F238E27FC236}">
              <a16:creationId xmlns:a16="http://schemas.microsoft.com/office/drawing/2014/main" id="{14DBB09A-BA29-4B35-98B0-1C2632A15F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67775" y="76201"/>
          <a:ext cx="1293127" cy="461064"/>
        </a:xfrm>
        <a:prstGeom prst="rect">
          <a:avLst/>
        </a:prstGeom>
      </xdr:spPr>
    </xdr:pic>
    <xdr:clientData/>
  </xdr:twoCellAnchor>
  <xdr:twoCellAnchor>
    <xdr:from>
      <xdr:col>1</xdr:col>
      <xdr:colOff>923925</xdr:colOff>
      <xdr:row>3</xdr:row>
      <xdr:rowOff>161925</xdr:rowOff>
    </xdr:from>
    <xdr:to>
      <xdr:col>7</xdr:col>
      <xdr:colOff>1000125</xdr:colOff>
      <xdr:row>4</xdr:row>
      <xdr:rowOff>1097100</xdr:rowOff>
    </xdr:to>
    <xdr:grpSp>
      <xdr:nvGrpSpPr>
        <xdr:cNvPr id="8" name="Grup 7">
          <a:extLst>
            <a:ext uri="{FF2B5EF4-FFF2-40B4-BE49-F238E27FC236}">
              <a16:creationId xmlns:a16="http://schemas.microsoft.com/office/drawing/2014/main" id="{D3624118-E208-4A7E-A70B-04B78FA0FAB9}"/>
            </a:ext>
          </a:extLst>
        </xdr:cNvPr>
        <xdr:cNvGrpSpPr/>
      </xdr:nvGrpSpPr>
      <xdr:grpSpPr>
        <a:xfrm>
          <a:off x="1724025" y="3457575"/>
          <a:ext cx="6534150" cy="1106625"/>
          <a:chOff x="962025" y="4191000"/>
          <a:chExt cx="6534150" cy="1106625"/>
        </a:xfrm>
      </xdr:grpSpPr>
      <xdr:sp macro="" textlink="">
        <xdr:nvSpPr>
          <xdr:cNvPr id="9" name="Metin kutusu 8">
            <a:extLst>
              <a:ext uri="{FF2B5EF4-FFF2-40B4-BE49-F238E27FC236}">
                <a16:creationId xmlns:a16="http://schemas.microsoft.com/office/drawing/2014/main" id="{AF4DCDD5-9994-1126-F0B9-42FF5A441FB0}"/>
              </a:ext>
            </a:extLst>
          </xdr:cNvPr>
          <xdr:cNvSpPr txBox="1"/>
        </xdr:nvSpPr>
        <xdr:spPr>
          <a:xfrm>
            <a:off x="962025" y="4505325"/>
            <a:ext cx="1219200" cy="523875"/>
          </a:xfrm>
          <a:prstGeom prst="rect">
            <a:avLst/>
          </a:prstGeom>
          <a:gradFill>
            <a:gsLst>
              <a:gs pos="0">
                <a:schemeClr val="accent5">
                  <a:lumMod val="20000"/>
                  <a:lumOff val="80000"/>
                </a:schemeClr>
              </a:gs>
              <a:gs pos="100000">
                <a:schemeClr val="lt1">
                  <a:shade val="100000"/>
                  <a:satMod val="115000"/>
                </a:schemeClr>
              </a:gs>
            </a:gsLst>
            <a:path path="circle">
              <a:fillToRect t="100000" r="100000"/>
            </a:path>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1100"/>
              <a:t>BAŞLAT</a:t>
            </a:r>
            <a:endParaRPr lang="en-US" sz="1100"/>
          </a:p>
        </xdr:txBody>
      </xdr:sp>
      <xdr:grpSp>
        <xdr:nvGrpSpPr>
          <xdr:cNvPr id="10" name="Grup 9">
            <a:extLst>
              <a:ext uri="{FF2B5EF4-FFF2-40B4-BE49-F238E27FC236}">
                <a16:creationId xmlns:a16="http://schemas.microsoft.com/office/drawing/2014/main" id="{BAB34791-6E9B-E53A-967E-ACC7C77CA487}"/>
              </a:ext>
            </a:extLst>
          </xdr:cNvPr>
          <xdr:cNvGrpSpPr/>
        </xdr:nvGrpSpPr>
        <xdr:grpSpPr>
          <a:xfrm>
            <a:off x="2752725" y="4191000"/>
            <a:ext cx="1219200" cy="1106625"/>
            <a:chOff x="2628900" y="4162425"/>
            <a:chExt cx="1219200" cy="1106625"/>
          </a:xfrm>
        </xdr:grpSpPr>
        <xdr:sp macro="" textlink="">
          <xdr:nvSpPr>
            <xdr:cNvPr id="21" name="Metin kutusu 20">
              <a:extLst>
                <a:ext uri="{FF2B5EF4-FFF2-40B4-BE49-F238E27FC236}">
                  <a16:creationId xmlns:a16="http://schemas.microsoft.com/office/drawing/2014/main" id="{17B12A91-D5ED-4EC4-7B7E-C9727DBFC554}"/>
                </a:ext>
              </a:extLst>
            </xdr:cNvPr>
            <xdr:cNvSpPr txBox="1"/>
          </xdr:nvSpPr>
          <xdr:spPr>
            <a:xfrm>
              <a:off x="2628900" y="4162425"/>
              <a:ext cx="1219200" cy="523875"/>
            </a:xfrm>
            <a:prstGeom prst="rect">
              <a:avLst/>
            </a:prstGeom>
            <a:gradFill flip="none" rotWithShape="1">
              <a:gsLst>
                <a:gs pos="0">
                  <a:schemeClr val="accent1">
                    <a:lumMod val="20000"/>
                    <a:lumOff val="80000"/>
                  </a:schemeClr>
                </a:gs>
                <a:gs pos="100000">
                  <a:schemeClr val="lt1">
                    <a:shade val="100000"/>
                    <a:satMod val="115000"/>
                  </a:schemeClr>
                </a:gs>
              </a:gsLst>
              <a:path path="circle">
                <a:fillToRect t="100000" r="100000"/>
              </a:path>
              <a:tileRect l="-100000" b="-100000"/>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1100"/>
                <a:t>YIKAMA (STANDART)</a:t>
              </a:r>
              <a:endParaRPr lang="en-US" sz="1100"/>
            </a:p>
          </xdr:txBody>
        </xdr:sp>
        <xdr:sp macro="" textlink="">
          <xdr:nvSpPr>
            <xdr:cNvPr id="22" name="Metin kutusu 21">
              <a:extLst>
                <a:ext uri="{FF2B5EF4-FFF2-40B4-BE49-F238E27FC236}">
                  <a16:creationId xmlns:a16="http://schemas.microsoft.com/office/drawing/2014/main" id="{2D239319-EE6A-6466-D81A-0DB183539DE2}"/>
                </a:ext>
              </a:extLst>
            </xdr:cNvPr>
            <xdr:cNvSpPr txBox="1"/>
          </xdr:nvSpPr>
          <xdr:spPr>
            <a:xfrm>
              <a:off x="2628900" y="4743450"/>
              <a:ext cx="1219200" cy="525600"/>
            </a:xfrm>
            <a:prstGeom prst="rect">
              <a:avLst/>
            </a:prstGeom>
            <a:gradFill>
              <a:gsLst>
                <a:gs pos="0">
                  <a:schemeClr val="accent6">
                    <a:lumMod val="60000"/>
                    <a:lumOff val="40000"/>
                  </a:schemeClr>
                </a:gs>
                <a:gs pos="100000">
                  <a:schemeClr val="lt1">
                    <a:shade val="100000"/>
                    <a:satMod val="115000"/>
                  </a:schemeClr>
                </a:gs>
              </a:gsLst>
              <a:path path="circle">
                <a:fillToRect t="100000" r="100000"/>
              </a:path>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1100"/>
                <a:t>YIKAMA (OPSİYONEL)</a:t>
              </a:r>
              <a:endParaRPr lang="en-US" sz="1100"/>
            </a:p>
          </xdr:txBody>
        </xdr:sp>
      </xdr:grpSp>
      <xdr:sp macro="" textlink="">
        <xdr:nvSpPr>
          <xdr:cNvPr id="11" name="Metin kutusu 10">
            <a:extLst>
              <a:ext uri="{FF2B5EF4-FFF2-40B4-BE49-F238E27FC236}">
                <a16:creationId xmlns:a16="http://schemas.microsoft.com/office/drawing/2014/main" id="{5F1C9DA6-560D-C429-8FC3-577FBC93BF74}"/>
              </a:ext>
            </a:extLst>
          </xdr:cNvPr>
          <xdr:cNvSpPr txBox="1"/>
        </xdr:nvSpPr>
        <xdr:spPr>
          <a:xfrm>
            <a:off x="4457700" y="4505325"/>
            <a:ext cx="1219200" cy="523875"/>
          </a:xfrm>
          <a:prstGeom prst="rect">
            <a:avLst/>
          </a:prstGeom>
          <a:gradFill>
            <a:gsLst>
              <a:gs pos="0">
                <a:schemeClr val="accent5">
                  <a:lumMod val="20000"/>
                  <a:lumOff val="80000"/>
                </a:schemeClr>
              </a:gs>
              <a:gs pos="100000">
                <a:schemeClr val="lt1">
                  <a:shade val="100000"/>
                  <a:satMod val="115000"/>
                </a:schemeClr>
              </a:gs>
            </a:gsLst>
            <a:path path="circle">
              <a:fillToRect t="100000" r="100000"/>
            </a:path>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1100"/>
              <a:t>DURULAMA</a:t>
            </a:r>
            <a:endParaRPr lang="en-US" sz="1100"/>
          </a:p>
        </xdr:txBody>
      </xdr:sp>
      <xdr:grpSp>
        <xdr:nvGrpSpPr>
          <xdr:cNvPr id="12" name="Grup 11">
            <a:extLst>
              <a:ext uri="{FF2B5EF4-FFF2-40B4-BE49-F238E27FC236}">
                <a16:creationId xmlns:a16="http://schemas.microsoft.com/office/drawing/2014/main" id="{728B5049-0A09-6D13-51CD-4ECEE115D855}"/>
              </a:ext>
            </a:extLst>
          </xdr:cNvPr>
          <xdr:cNvGrpSpPr/>
        </xdr:nvGrpSpPr>
        <xdr:grpSpPr>
          <a:xfrm>
            <a:off x="6276975" y="4191000"/>
            <a:ext cx="1219200" cy="1106625"/>
            <a:chOff x="5648325" y="4305300"/>
            <a:chExt cx="1219200" cy="1106625"/>
          </a:xfrm>
        </xdr:grpSpPr>
        <xdr:sp macro="" textlink="">
          <xdr:nvSpPr>
            <xdr:cNvPr id="19" name="Metin kutusu 18">
              <a:extLst>
                <a:ext uri="{FF2B5EF4-FFF2-40B4-BE49-F238E27FC236}">
                  <a16:creationId xmlns:a16="http://schemas.microsoft.com/office/drawing/2014/main" id="{B9501BFC-ECE5-15DD-C7E8-D141FDD222CE}"/>
                </a:ext>
              </a:extLst>
            </xdr:cNvPr>
            <xdr:cNvSpPr txBox="1"/>
          </xdr:nvSpPr>
          <xdr:spPr>
            <a:xfrm>
              <a:off x="5648325" y="4305300"/>
              <a:ext cx="1219200" cy="523875"/>
            </a:xfrm>
            <a:prstGeom prst="rect">
              <a:avLst/>
            </a:prstGeom>
            <a:gradFill>
              <a:gsLst>
                <a:gs pos="0">
                  <a:schemeClr val="accent5">
                    <a:lumMod val="20000"/>
                    <a:lumOff val="80000"/>
                  </a:schemeClr>
                </a:gs>
                <a:gs pos="100000">
                  <a:schemeClr val="lt1">
                    <a:shade val="100000"/>
                    <a:satMod val="115000"/>
                  </a:schemeClr>
                </a:gs>
              </a:gsLst>
              <a:path path="circle">
                <a:fillToRect t="100000" r="100000"/>
              </a:path>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1100"/>
                <a:t>KURUTMA (STANDART)</a:t>
              </a:r>
              <a:endParaRPr lang="en-US" sz="1100"/>
            </a:p>
          </xdr:txBody>
        </xdr:sp>
        <xdr:sp macro="" textlink="">
          <xdr:nvSpPr>
            <xdr:cNvPr id="20" name="Metin kutusu 19">
              <a:extLst>
                <a:ext uri="{FF2B5EF4-FFF2-40B4-BE49-F238E27FC236}">
                  <a16:creationId xmlns:a16="http://schemas.microsoft.com/office/drawing/2014/main" id="{20EF9C2E-712D-37BC-0FB1-FEE93C8A2784}"/>
                </a:ext>
              </a:extLst>
            </xdr:cNvPr>
            <xdr:cNvSpPr txBox="1"/>
          </xdr:nvSpPr>
          <xdr:spPr>
            <a:xfrm>
              <a:off x="5648325" y="4886325"/>
              <a:ext cx="1219200" cy="525600"/>
            </a:xfrm>
            <a:prstGeom prst="rect">
              <a:avLst/>
            </a:prstGeom>
            <a:gradFill>
              <a:gsLst>
                <a:gs pos="0">
                  <a:schemeClr val="accent6">
                    <a:lumMod val="40000"/>
                    <a:lumOff val="60000"/>
                  </a:schemeClr>
                </a:gs>
                <a:gs pos="100000">
                  <a:schemeClr val="lt1">
                    <a:shade val="100000"/>
                    <a:satMod val="115000"/>
                  </a:schemeClr>
                </a:gs>
              </a:gsLst>
              <a:path path="circle">
                <a:fillToRect t="100000" r="100000"/>
              </a:path>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1100"/>
                <a:t>KURUTMA (OPSİYONEL)</a:t>
              </a:r>
              <a:endParaRPr lang="en-US" sz="1100"/>
            </a:p>
          </xdr:txBody>
        </xdr:sp>
      </xdr:grpSp>
      <xdr:cxnSp macro="">
        <xdr:nvCxnSpPr>
          <xdr:cNvPr id="13" name="Düz Ok Bağlayıcısı 12">
            <a:extLst>
              <a:ext uri="{FF2B5EF4-FFF2-40B4-BE49-F238E27FC236}">
                <a16:creationId xmlns:a16="http://schemas.microsoft.com/office/drawing/2014/main" id="{1646CDA7-E255-B9E7-BB09-7D97EF7C7A6C}"/>
              </a:ext>
            </a:extLst>
          </xdr:cNvPr>
          <xdr:cNvCxnSpPr>
            <a:stCxn id="9" idx="3"/>
            <a:endCxn id="21" idx="1"/>
          </xdr:cNvCxnSpPr>
        </xdr:nvCxnSpPr>
        <xdr:spPr>
          <a:xfrm flipV="1">
            <a:off x="2181225" y="4452938"/>
            <a:ext cx="571500" cy="3143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4" name="Düz Ok Bağlayıcısı 13">
            <a:extLst>
              <a:ext uri="{FF2B5EF4-FFF2-40B4-BE49-F238E27FC236}">
                <a16:creationId xmlns:a16="http://schemas.microsoft.com/office/drawing/2014/main" id="{5A1E8863-7031-3ADC-E9A4-87E76AF6A93D}"/>
              </a:ext>
            </a:extLst>
          </xdr:cNvPr>
          <xdr:cNvCxnSpPr>
            <a:stCxn id="9" idx="3"/>
            <a:endCxn id="22" idx="1"/>
          </xdr:cNvCxnSpPr>
        </xdr:nvCxnSpPr>
        <xdr:spPr>
          <a:xfrm>
            <a:off x="2181225" y="4767263"/>
            <a:ext cx="571500" cy="26756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5" name="Düz Ok Bağlayıcısı 14">
            <a:extLst>
              <a:ext uri="{FF2B5EF4-FFF2-40B4-BE49-F238E27FC236}">
                <a16:creationId xmlns:a16="http://schemas.microsoft.com/office/drawing/2014/main" id="{12E1A34D-0FD2-8A0E-0845-C4C7AFFD9F03}"/>
              </a:ext>
            </a:extLst>
          </xdr:cNvPr>
          <xdr:cNvCxnSpPr>
            <a:stCxn id="21" idx="3"/>
            <a:endCxn id="11" idx="1"/>
          </xdr:cNvCxnSpPr>
        </xdr:nvCxnSpPr>
        <xdr:spPr>
          <a:xfrm>
            <a:off x="3971925" y="4452938"/>
            <a:ext cx="485775" cy="3143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6" name="Düz Ok Bağlayıcısı 15">
            <a:extLst>
              <a:ext uri="{FF2B5EF4-FFF2-40B4-BE49-F238E27FC236}">
                <a16:creationId xmlns:a16="http://schemas.microsoft.com/office/drawing/2014/main" id="{4BB6B596-EA07-C21A-1BE6-BA8D94B02D7D}"/>
              </a:ext>
            </a:extLst>
          </xdr:cNvPr>
          <xdr:cNvCxnSpPr>
            <a:stCxn id="22" idx="3"/>
            <a:endCxn id="11" idx="1"/>
          </xdr:cNvCxnSpPr>
        </xdr:nvCxnSpPr>
        <xdr:spPr>
          <a:xfrm flipV="1">
            <a:off x="3971925" y="4767263"/>
            <a:ext cx="485775" cy="26756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7" name="Düz Ok Bağlayıcısı 16">
            <a:extLst>
              <a:ext uri="{FF2B5EF4-FFF2-40B4-BE49-F238E27FC236}">
                <a16:creationId xmlns:a16="http://schemas.microsoft.com/office/drawing/2014/main" id="{4BAC202F-0490-2917-B2FF-9DE5BE99310A}"/>
              </a:ext>
            </a:extLst>
          </xdr:cNvPr>
          <xdr:cNvCxnSpPr>
            <a:stCxn id="11" idx="3"/>
            <a:endCxn id="19" idx="1"/>
          </xdr:cNvCxnSpPr>
        </xdr:nvCxnSpPr>
        <xdr:spPr>
          <a:xfrm flipV="1">
            <a:off x="5676900" y="4452938"/>
            <a:ext cx="600075" cy="3143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8" name="Düz Ok Bağlayıcısı 17">
            <a:extLst>
              <a:ext uri="{FF2B5EF4-FFF2-40B4-BE49-F238E27FC236}">
                <a16:creationId xmlns:a16="http://schemas.microsoft.com/office/drawing/2014/main" id="{7AE05048-BCFF-267C-07C7-928840E1DA0F}"/>
              </a:ext>
            </a:extLst>
          </xdr:cNvPr>
          <xdr:cNvCxnSpPr>
            <a:stCxn id="11" idx="3"/>
            <a:endCxn id="20" idx="1"/>
          </xdr:cNvCxnSpPr>
        </xdr:nvCxnSpPr>
        <xdr:spPr>
          <a:xfrm>
            <a:off x="5676900" y="4767263"/>
            <a:ext cx="600075" cy="26756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wsDr>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1B335-4F54-4E54-965D-EE85D130DC03}">
  <sheetPr codeName="Sayfa1"/>
  <dimension ref="A1:J42"/>
  <sheetViews>
    <sheetView showGridLines="0" tabSelected="1" topLeftCell="A10" workbookViewId="0">
      <selection activeCell="D40" sqref="D40:E40"/>
    </sheetView>
  </sheetViews>
  <sheetFormatPr defaultRowHeight="13.5" x14ac:dyDescent="0.25"/>
  <cols>
    <col min="1" max="1" width="12" style="1" bestFit="1" customWidth="1"/>
    <col min="2" max="2" width="20.85546875" style="1" bestFit="1" customWidth="1"/>
    <col min="3" max="3" width="11.5703125" style="2" bestFit="1" customWidth="1"/>
    <col min="4" max="4" width="19" style="2" bestFit="1" customWidth="1"/>
    <col min="5" max="5" width="16" style="2" bestFit="1" customWidth="1"/>
    <col min="6" max="7" width="14.7109375" style="2" customWidth="1"/>
    <col min="8" max="8" width="16" style="2" bestFit="1" customWidth="1"/>
    <col min="9" max="10" width="14.7109375" style="2" customWidth="1"/>
    <col min="11" max="16384" width="9.140625" style="1"/>
  </cols>
  <sheetData>
    <row r="1" spans="1:10" ht="49.5" customHeight="1" x14ac:dyDescent="0.25">
      <c r="A1" s="61"/>
      <c r="B1" s="61"/>
      <c r="C1" s="61"/>
      <c r="D1" s="61"/>
      <c r="E1" s="61"/>
      <c r="F1" s="61"/>
      <c r="G1" s="61"/>
      <c r="H1" s="61"/>
      <c r="I1" s="61"/>
      <c r="J1" s="61"/>
    </row>
    <row r="2" spans="1:10" x14ac:dyDescent="0.25">
      <c r="A2" s="1" t="s">
        <v>47</v>
      </c>
      <c r="B2" s="1" t="s">
        <v>91</v>
      </c>
      <c r="C2" s="6" t="s">
        <v>48</v>
      </c>
      <c r="D2" s="34" t="s">
        <v>92</v>
      </c>
      <c r="E2" s="6" t="s">
        <v>49</v>
      </c>
      <c r="F2" s="62" t="s">
        <v>51</v>
      </c>
      <c r="G2" s="62"/>
      <c r="H2" s="62"/>
      <c r="I2" s="6" t="s">
        <v>52</v>
      </c>
      <c r="J2" s="8" t="s">
        <v>53</v>
      </c>
    </row>
    <row r="3" spans="1:10" ht="260.25" customHeight="1" x14ac:dyDescent="0.25">
      <c r="A3" s="1" t="s">
        <v>50</v>
      </c>
      <c r="B3" s="48" t="s">
        <v>54</v>
      </c>
      <c r="C3" s="48"/>
      <c r="D3" s="48"/>
      <c r="E3" s="48"/>
      <c r="F3" s="48"/>
      <c r="G3" s="48"/>
      <c r="H3" s="48"/>
      <c r="I3" s="48"/>
      <c r="J3" s="48"/>
    </row>
    <row r="5" spans="1:10" ht="102.75" customHeight="1" x14ac:dyDescent="0.25"/>
    <row r="6" spans="1:10" ht="35.25" customHeight="1" x14ac:dyDescent="0.25"/>
    <row r="7" spans="1:10" x14ac:dyDescent="0.25">
      <c r="A7" s="63" t="s">
        <v>0</v>
      </c>
      <c r="B7" s="63" t="s">
        <v>37</v>
      </c>
      <c r="C7" s="63"/>
      <c r="D7" s="63"/>
      <c r="E7" s="63"/>
      <c r="F7" s="10" t="s">
        <v>14</v>
      </c>
      <c r="G7" s="10" t="s">
        <v>15</v>
      </c>
      <c r="H7" s="10" t="s">
        <v>16</v>
      </c>
      <c r="I7" s="10" t="s">
        <v>19</v>
      </c>
      <c r="J7" s="10" t="s">
        <v>18</v>
      </c>
    </row>
    <row r="8" spans="1:10" x14ac:dyDescent="0.25">
      <c r="A8" s="63"/>
      <c r="B8" s="63"/>
      <c r="C8" s="63"/>
      <c r="D8" s="63"/>
      <c r="E8" s="63"/>
      <c r="F8" s="11" t="s">
        <v>23</v>
      </c>
      <c r="G8" s="11" t="s">
        <v>24</v>
      </c>
      <c r="H8" s="11" t="s">
        <v>25</v>
      </c>
      <c r="I8" s="11" t="s">
        <v>22</v>
      </c>
      <c r="J8" s="11" t="s">
        <v>26</v>
      </c>
    </row>
    <row r="9" spans="1:10" x14ac:dyDescent="0.25">
      <c r="A9" s="64"/>
      <c r="B9" s="14" t="s">
        <v>5</v>
      </c>
      <c r="C9" s="15" t="s">
        <v>7</v>
      </c>
      <c r="D9" s="15" t="s">
        <v>8</v>
      </c>
      <c r="E9" s="15" t="s">
        <v>6</v>
      </c>
      <c r="F9" s="16" t="s">
        <v>1</v>
      </c>
      <c r="G9" s="16" t="s">
        <v>2</v>
      </c>
      <c r="H9" s="16" t="s">
        <v>3</v>
      </c>
      <c r="I9" s="16" t="s">
        <v>20</v>
      </c>
      <c r="J9" s="16" t="s">
        <v>4</v>
      </c>
    </row>
    <row r="10" spans="1:10" x14ac:dyDescent="0.25">
      <c r="A10" s="65" t="s">
        <v>9</v>
      </c>
      <c r="B10" s="37" t="s">
        <v>10</v>
      </c>
      <c r="C10" s="38">
        <v>8</v>
      </c>
      <c r="D10" s="38">
        <v>0.99</v>
      </c>
      <c r="E10" s="38">
        <v>1</v>
      </c>
      <c r="F10" s="38">
        <f>C10/D10</f>
        <v>8.0808080808080813</v>
      </c>
      <c r="G10" s="38">
        <f>(H10^2-F10^2)^0.5</f>
        <v>0</v>
      </c>
      <c r="H10" s="38">
        <f>F10/E10</f>
        <v>8.0808080808080813</v>
      </c>
      <c r="I10" s="38">
        <v>380</v>
      </c>
      <c r="J10" s="38">
        <f>F10*1000/(380*3^0.5*E10)</f>
        <v>12.277517686116445</v>
      </c>
    </row>
    <row r="11" spans="1:10" x14ac:dyDescent="0.25">
      <c r="A11" s="65"/>
      <c r="B11" s="37" t="s">
        <v>11</v>
      </c>
      <c r="C11" s="38">
        <v>8</v>
      </c>
      <c r="D11" s="38">
        <v>0.99</v>
      </c>
      <c r="E11" s="38">
        <v>1</v>
      </c>
      <c r="F11" s="38">
        <f t="shared" ref="F11:F13" si="0">C11/D11</f>
        <v>8.0808080808080813</v>
      </c>
      <c r="G11" s="38">
        <f t="shared" ref="G11:G13" si="1">(H11^2-F11^2)^0.5</f>
        <v>0</v>
      </c>
      <c r="H11" s="38">
        <f t="shared" ref="H11:H13" si="2">F11/E11</f>
        <v>8.0808080808080813</v>
      </c>
      <c r="I11" s="38">
        <v>380</v>
      </c>
      <c r="J11" s="38">
        <f t="shared" ref="J11:J13" si="3">F11*1000/(380*3^0.5*E11)</f>
        <v>12.277517686116445</v>
      </c>
    </row>
    <row r="12" spans="1:10" x14ac:dyDescent="0.25">
      <c r="A12" s="65"/>
      <c r="B12" s="37" t="s">
        <v>12</v>
      </c>
      <c r="C12" s="38">
        <v>8</v>
      </c>
      <c r="D12" s="38">
        <v>0.99</v>
      </c>
      <c r="E12" s="38">
        <v>1</v>
      </c>
      <c r="F12" s="38">
        <f t="shared" si="0"/>
        <v>8.0808080808080813</v>
      </c>
      <c r="G12" s="38">
        <f t="shared" si="1"/>
        <v>0</v>
      </c>
      <c r="H12" s="38">
        <f t="shared" si="2"/>
        <v>8.0808080808080813</v>
      </c>
      <c r="I12" s="38">
        <v>380</v>
      </c>
      <c r="J12" s="38">
        <f t="shared" si="3"/>
        <v>12.277517686116445</v>
      </c>
    </row>
    <row r="13" spans="1:10" x14ac:dyDescent="0.25">
      <c r="A13" s="65"/>
      <c r="B13" s="37" t="s">
        <v>13</v>
      </c>
      <c r="C13" s="38">
        <v>8</v>
      </c>
      <c r="D13" s="38">
        <v>0.99</v>
      </c>
      <c r="E13" s="38">
        <v>1</v>
      </c>
      <c r="F13" s="38">
        <f t="shared" si="0"/>
        <v>8.0808080808080813</v>
      </c>
      <c r="G13" s="38">
        <f t="shared" si="1"/>
        <v>0</v>
      </c>
      <c r="H13" s="38">
        <f t="shared" si="2"/>
        <v>8.0808080808080813</v>
      </c>
      <c r="I13" s="38">
        <v>380</v>
      </c>
      <c r="J13" s="38">
        <f t="shared" si="3"/>
        <v>12.277517686116445</v>
      </c>
    </row>
    <row r="14" spans="1:10" x14ac:dyDescent="0.25">
      <c r="A14" s="65"/>
      <c r="B14" s="51" t="s">
        <v>17</v>
      </c>
      <c r="C14" s="51"/>
      <c r="D14" s="51"/>
      <c r="E14" s="51"/>
      <c r="F14" s="39">
        <f>SUM(F10:F13)</f>
        <v>32.323232323232325</v>
      </c>
      <c r="G14" s="38">
        <f>SUM(G10:G13)</f>
        <v>0</v>
      </c>
      <c r="H14" s="38">
        <f>SUM(H10:H13)</f>
        <v>32.323232323232325</v>
      </c>
      <c r="I14" s="38" t="s">
        <v>21</v>
      </c>
      <c r="J14" s="39">
        <f>SUM(J10:J13)</f>
        <v>49.11007074446578</v>
      </c>
    </row>
    <row r="15" spans="1:10" x14ac:dyDescent="0.25">
      <c r="A15" s="50" t="s">
        <v>28</v>
      </c>
      <c r="B15" s="37" t="s">
        <v>10</v>
      </c>
      <c r="C15" s="38">
        <v>8</v>
      </c>
      <c r="D15" s="38">
        <v>0.99</v>
      </c>
      <c r="E15" s="38">
        <v>1</v>
      </c>
      <c r="F15" s="38">
        <f>C15/D15</f>
        <v>8.0808080808080813</v>
      </c>
      <c r="G15" s="38">
        <f>(H15^2-F15^2)^0.5</f>
        <v>0</v>
      </c>
      <c r="H15" s="38">
        <f>F15/E15</f>
        <v>8.0808080808080813</v>
      </c>
      <c r="I15" s="38">
        <v>380</v>
      </c>
      <c r="J15" s="38">
        <f>F15*1000/(380*3^0.5*E15)</f>
        <v>12.277517686116445</v>
      </c>
    </row>
    <row r="16" spans="1:10" x14ac:dyDescent="0.25">
      <c r="A16" s="50"/>
      <c r="B16" s="37" t="s">
        <v>11</v>
      </c>
      <c r="C16" s="38">
        <v>8</v>
      </c>
      <c r="D16" s="38">
        <v>0.99</v>
      </c>
      <c r="E16" s="38">
        <v>1</v>
      </c>
      <c r="F16" s="38">
        <f t="shared" ref="F16:F19" si="4">C16/D16</f>
        <v>8.0808080808080813</v>
      </c>
      <c r="G16" s="38">
        <f t="shared" ref="G16:G19" si="5">(H16^2-F16^2)^0.5</f>
        <v>0</v>
      </c>
      <c r="H16" s="38">
        <f t="shared" ref="H16:H19" si="6">F16/E16</f>
        <v>8.0808080808080813</v>
      </c>
      <c r="I16" s="38">
        <v>380</v>
      </c>
      <c r="J16" s="38">
        <f t="shared" ref="J16:J19" si="7">F16*1000/(380*3^0.5*E16)</f>
        <v>12.277517686116445</v>
      </c>
    </row>
    <row r="17" spans="1:10" x14ac:dyDescent="0.25">
      <c r="A17" s="50"/>
      <c r="B17" s="37" t="s">
        <v>27</v>
      </c>
      <c r="C17" s="38">
        <v>2.2000000000000002</v>
      </c>
      <c r="D17" s="38">
        <v>0.85</v>
      </c>
      <c r="E17" s="38">
        <v>1</v>
      </c>
      <c r="F17" s="38">
        <f t="shared" si="4"/>
        <v>2.5882352941176472</v>
      </c>
      <c r="G17" s="38">
        <f t="shared" si="5"/>
        <v>0</v>
      </c>
      <c r="H17" s="38">
        <f t="shared" si="6"/>
        <v>2.5882352941176472</v>
      </c>
      <c r="I17" s="38">
        <v>380</v>
      </c>
      <c r="J17" s="38">
        <f t="shared" si="7"/>
        <v>3.9324166941708265</v>
      </c>
    </row>
    <row r="18" spans="1:10" x14ac:dyDescent="0.25">
      <c r="A18" s="50"/>
      <c r="B18" s="37" t="s">
        <v>84</v>
      </c>
      <c r="C18" s="38">
        <v>0.37</v>
      </c>
      <c r="D18" s="38">
        <v>0.72</v>
      </c>
      <c r="E18" s="38">
        <v>0.73</v>
      </c>
      <c r="F18" s="38">
        <f t="shared" si="4"/>
        <v>0.51388888888888895</v>
      </c>
      <c r="G18" s="38">
        <f t="shared" si="5"/>
        <v>0.48111766295216579</v>
      </c>
      <c r="H18" s="38">
        <f t="shared" si="6"/>
        <v>0.70395738203957392</v>
      </c>
      <c r="I18" s="38">
        <v>380</v>
      </c>
      <c r="J18" s="38">
        <f t="shared" si="7"/>
        <v>1.0695525895225584</v>
      </c>
    </row>
    <row r="19" spans="1:10" x14ac:dyDescent="0.25">
      <c r="A19" s="50"/>
      <c r="B19" s="37" t="s">
        <v>88</v>
      </c>
      <c r="C19" s="38">
        <v>0.37</v>
      </c>
      <c r="D19" s="38">
        <v>0.72</v>
      </c>
      <c r="E19" s="38">
        <v>0.77</v>
      </c>
      <c r="F19" s="38">
        <f t="shared" si="4"/>
        <v>0.51388888888888895</v>
      </c>
      <c r="G19" s="38">
        <f t="shared" si="5"/>
        <v>0.42582293954915079</v>
      </c>
      <c r="H19" s="38">
        <f t="shared" si="6"/>
        <v>0.66738816738816742</v>
      </c>
      <c r="I19" s="38">
        <v>380</v>
      </c>
      <c r="J19" s="38">
        <f t="shared" si="7"/>
        <v>1.0139914160408672</v>
      </c>
    </row>
    <row r="20" spans="1:10" x14ac:dyDescent="0.25">
      <c r="A20" s="50"/>
      <c r="B20" s="51" t="s">
        <v>17</v>
      </c>
      <c r="C20" s="51"/>
      <c r="D20" s="51"/>
      <c r="E20" s="51"/>
      <c r="F20" s="39">
        <f>SUM(F15:F19)</f>
        <v>19.77762923351159</v>
      </c>
      <c r="G20" s="39">
        <f>SUM(G15:G19)</f>
        <v>0.90694060250131658</v>
      </c>
      <c r="H20" s="39">
        <f>SUM(H15:H19)</f>
        <v>20.121197005161552</v>
      </c>
      <c r="I20" s="38" t="s">
        <v>21</v>
      </c>
      <c r="J20" s="39">
        <f>SUM(J15:J19)</f>
        <v>30.570996071967141</v>
      </c>
    </row>
    <row r="21" spans="1:10" x14ac:dyDescent="0.25">
      <c r="A21" s="50" t="s">
        <v>89</v>
      </c>
      <c r="B21" s="37" t="s">
        <v>12</v>
      </c>
      <c r="C21" s="38">
        <v>8</v>
      </c>
      <c r="D21" s="38">
        <v>0.99</v>
      </c>
      <c r="E21" s="38">
        <v>1</v>
      </c>
      <c r="F21" s="38">
        <f>C21/D21</f>
        <v>8.0808080808080813</v>
      </c>
      <c r="G21" s="38">
        <f>(H21^2-F21^2)^0.5</f>
        <v>0</v>
      </c>
      <c r="H21" s="38">
        <f>F21/E21</f>
        <v>8.0808080808080813</v>
      </c>
      <c r="I21" s="38">
        <v>380</v>
      </c>
      <c r="J21" s="38">
        <f>F21*1000/(380*3^0.5*E21)</f>
        <v>12.277517686116445</v>
      </c>
    </row>
    <row r="22" spans="1:10" x14ac:dyDescent="0.25">
      <c r="A22" s="50"/>
      <c r="B22" s="37" t="s">
        <v>13</v>
      </c>
      <c r="C22" s="38">
        <v>8</v>
      </c>
      <c r="D22" s="38">
        <v>0.99</v>
      </c>
      <c r="E22" s="38">
        <v>1</v>
      </c>
      <c r="F22" s="38">
        <f t="shared" ref="F22:F25" si="8">C22/D22</f>
        <v>8.0808080808080813</v>
      </c>
      <c r="G22" s="38">
        <f t="shared" ref="G22:G25" si="9">(H22^2-F22^2)^0.5</f>
        <v>0</v>
      </c>
      <c r="H22" s="38">
        <f t="shared" ref="H22:H25" si="10">F22/E22</f>
        <v>8.0808080808080813</v>
      </c>
      <c r="I22" s="38">
        <v>380</v>
      </c>
      <c r="J22" s="38">
        <f t="shared" ref="J22:J25" si="11">F22*1000/(380*3^0.5*E22)</f>
        <v>12.277517686116445</v>
      </c>
    </row>
    <row r="23" spans="1:10" x14ac:dyDescent="0.25">
      <c r="A23" s="50"/>
      <c r="B23" s="37" t="s">
        <v>58</v>
      </c>
      <c r="C23" s="38">
        <v>2.2000000000000002</v>
      </c>
      <c r="D23" s="38">
        <v>0.85</v>
      </c>
      <c r="E23" s="38">
        <v>1</v>
      </c>
      <c r="F23" s="38">
        <f t="shared" si="8"/>
        <v>2.5882352941176472</v>
      </c>
      <c r="G23" s="38">
        <f t="shared" si="9"/>
        <v>0</v>
      </c>
      <c r="H23" s="38">
        <f t="shared" si="10"/>
        <v>2.5882352941176472</v>
      </c>
      <c r="I23" s="38">
        <v>380</v>
      </c>
      <c r="J23" s="38">
        <f t="shared" si="11"/>
        <v>3.9324166941708265</v>
      </c>
    </row>
    <row r="24" spans="1:10" x14ac:dyDescent="0.25">
      <c r="A24" s="50"/>
      <c r="B24" s="37" t="s">
        <v>84</v>
      </c>
      <c r="C24" s="38">
        <v>0.37</v>
      </c>
      <c r="D24" s="38">
        <v>0.72</v>
      </c>
      <c r="E24" s="38">
        <v>0.73</v>
      </c>
      <c r="F24" s="38">
        <f t="shared" si="8"/>
        <v>0.51388888888888895</v>
      </c>
      <c r="G24" s="38">
        <f t="shared" si="9"/>
        <v>0.48111766295216579</v>
      </c>
      <c r="H24" s="38">
        <f t="shared" si="10"/>
        <v>0.70395738203957392</v>
      </c>
      <c r="I24" s="38">
        <v>380</v>
      </c>
      <c r="J24" s="38">
        <f t="shared" si="11"/>
        <v>1.0695525895225584</v>
      </c>
    </row>
    <row r="25" spans="1:10" x14ac:dyDescent="0.25">
      <c r="A25" s="50"/>
      <c r="B25" s="37" t="s">
        <v>88</v>
      </c>
      <c r="C25" s="38">
        <v>0.37</v>
      </c>
      <c r="D25" s="38">
        <v>0.72</v>
      </c>
      <c r="E25" s="38">
        <v>0.77</v>
      </c>
      <c r="F25" s="38">
        <f t="shared" si="8"/>
        <v>0.51388888888888895</v>
      </c>
      <c r="G25" s="38">
        <f t="shared" si="9"/>
        <v>0.42582293954915079</v>
      </c>
      <c r="H25" s="38">
        <f t="shared" si="10"/>
        <v>0.66738816738816742</v>
      </c>
      <c r="I25" s="38">
        <v>380</v>
      </c>
      <c r="J25" s="38">
        <f t="shared" si="11"/>
        <v>1.0139914160408672</v>
      </c>
    </row>
    <row r="26" spans="1:10" x14ac:dyDescent="0.25">
      <c r="A26" s="50"/>
      <c r="B26" s="51" t="s">
        <v>17</v>
      </c>
      <c r="C26" s="51"/>
      <c r="D26" s="51"/>
      <c r="E26" s="51"/>
      <c r="F26" s="39">
        <f>SUM(F21:F25)</f>
        <v>19.77762923351159</v>
      </c>
      <c r="G26" s="39">
        <f>SUM(G21:G25)</f>
        <v>0.90694060250131658</v>
      </c>
      <c r="H26" s="39">
        <f>SUM(H21:H25)</f>
        <v>20.121197005161552</v>
      </c>
      <c r="I26" s="38" t="s">
        <v>21</v>
      </c>
      <c r="J26" s="39">
        <f>SUM(J21:J25)</f>
        <v>30.570996071967141</v>
      </c>
    </row>
    <row r="27" spans="1:10" x14ac:dyDescent="0.25">
      <c r="A27" s="82" t="s">
        <v>30</v>
      </c>
      <c r="B27" s="37" t="s">
        <v>10</v>
      </c>
      <c r="C27" s="38">
        <v>8</v>
      </c>
      <c r="D27" s="38">
        <v>0.99</v>
      </c>
      <c r="E27" s="38">
        <v>1</v>
      </c>
      <c r="F27" s="38">
        <f>C27/D27</f>
        <v>8.0808080808080813</v>
      </c>
      <c r="G27" s="38">
        <f>(H27^2-F27^2)^0.5</f>
        <v>0</v>
      </c>
      <c r="H27" s="38">
        <f>F27/E27</f>
        <v>8.0808080808080813</v>
      </c>
      <c r="I27" s="38">
        <v>380</v>
      </c>
      <c r="J27" s="38">
        <f>F27*1000/(380*3^0.5*E27)</f>
        <v>12.277517686116445</v>
      </c>
    </row>
    <row r="28" spans="1:10" x14ac:dyDescent="0.25">
      <c r="A28" s="83"/>
      <c r="B28" s="37" t="s">
        <v>11</v>
      </c>
      <c r="C28" s="38">
        <v>8</v>
      </c>
      <c r="D28" s="38">
        <v>0.99</v>
      </c>
      <c r="E28" s="38">
        <v>1</v>
      </c>
      <c r="F28" s="38">
        <f t="shared" ref="F28:F30" si="12">C28/D28</f>
        <v>8.0808080808080813</v>
      </c>
      <c r="G28" s="38">
        <f t="shared" ref="G28:G30" si="13">(H28^2-F28^2)^0.5</f>
        <v>0</v>
      </c>
      <c r="H28" s="38">
        <f t="shared" ref="H28:H30" si="14">F28/E28</f>
        <v>8.0808080808080813</v>
      </c>
      <c r="I28" s="38">
        <v>380</v>
      </c>
      <c r="J28" s="38">
        <f t="shared" ref="J28:J30" si="15">F28*1000/(380*3^0.5*E28)</f>
        <v>12.277517686116445</v>
      </c>
    </row>
    <row r="29" spans="1:10" x14ac:dyDescent="0.25">
      <c r="A29" s="83"/>
      <c r="B29" s="37" t="s">
        <v>12</v>
      </c>
      <c r="C29" s="38">
        <v>8</v>
      </c>
      <c r="D29" s="38">
        <v>0.99</v>
      </c>
      <c r="E29" s="38">
        <v>1</v>
      </c>
      <c r="F29" s="38">
        <f t="shared" si="12"/>
        <v>8.0808080808080813</v>
      </c>
      <c r="G29" s="38">
        <f t="shared" si="13"/>
        <v>0</v>
      </c>
      <c r="H29" s="38">
        <f t="shared" si="14"/>
        <v>8.0808080808080813</v>
      </c>
      <c r="I29" s="38">
        <v>380</v>
      </c>
      <c r="J29" s="38">
        <f t="shared" si="15"/>
        <v>12.277517686116445</v>
      </c>
    </row>
    <row r="30" spans="1:10" x14ac:dyDescent="0.25">
      <c r="A30" s="83"/>
      <c r="B30" s="37" t="s">
        <v>13</v>
      </c>
      <c r="C30" s="38">
        <v>8</v>
      </c>
      <c r="D30" s="38">
        <v>0.99</v>
      </c>
      <c r="E30" s="38">
        <v>1</v>
      </c>
      <c r="F30" s="38">
        <f t="shared" si="12"/>
        <v>8.0808080808080813</v>
      </c>
      <c r="G30" s="38">
        <f t="shared" si="13"/>
        <v>0</v>
      </c>
      <c r="H30" s="38">
        <f t="shared" si="14"/>
        <v>8.0808080808080813</v>
      </c>
      <c r="I30" s="38">
        <v>380</v>
      </c>
      <c r="J30" s="38">
        <f t="shared" si="15"/>
        <v>12.277517686116445</v>
      </c>
    </row>
    <row r="31" spans="1:10" x14ac:dyDescent="0.25">
      <c r="A31" s="83"/>
      <c r="B31" s="37" t="s">
        <v>84</v>
      </c>
      <c r="C31" s="38">
        <v>0.37</v>
      </c>
      <c r="D31" s="38">
        <v>0.72</v>
      </c>
      <c r="E31" s="38">
        <v>0.73</v>
      </c>
      <c r="F31" s="38">
        <f t="shared" ref="F31:F34" si="16">C31/D31</f>
        <v>0.51388888888888895</v>
      </c>
      <c r="G31" s="38">
        <f t="shared" ref="G31:G34" si="17">(H31^2-F31^2)^0.5</f>
        <v>0.48111766295216579</v>
      </c>
      <c r="H31" s="38">
        <f t="shared" ref="H31:H34" si="18">F31/E31</f>
        <v>0.70395738203957392</v>
      </c>
      <c r="I31" s="38">
        <v>381</v>
      </c>
      <c r="J31" s="38">
        <f t="shared" ref="J31:J34" si="19">F31*1000/(380*3^0.5*E31)</f>
        <v>1.0695525895225584</v>
      </c>
    </row>
    <row r="32" spans="1:10" x14ac:dyDescent="0.25">
      <c r="A32" s="83"/>
      <c r="B32" s="37" t="s">
        <v>32</v>
      </c>
      <c r="C32" s="38">
        <v>6</v>
      </c>
      <c r="D32" s="38">
        <v>0.99</v>
      </c>
      <c r="E32" s="38">
        <v>1</v>
      </c>
      <c r="F32" s="38">
        <f t="shared" si="16"/>
        <v>6.0606060606060606</v>
      </c>
      <c r="G32" s="38">
        <f t="shared" si="17"/>
        <v>0</v>
      </c>
      <c r="H32" s="38">
        <f t="shared" si="18"/>
        <v>6.0606060606060606</v>
      </c>
      <c r="I32" s="38">
        <v>382</v>
      </c>
      <c r="J32" s="38">
        <f t="shared" si="19"/>
        <v>9.2081382645873333</v>
      </c>
    </row>
    <row r="33" spans="1:10" x14ac:dyDescent="0.25">
      <c r="A33" s="83"/>
      <c r="B33" s="37" t="s">
        <v>90</v>
      </c>
      <c r="C33" s="38">
        <v>0.37</v>
      </c>
      <c r="D33" s="38">
        <v>0.82</v>
      </c>
      <c r="E33" s="38">
        <v>0.85</v>
      </c>
      <c r="F33" s="38">
        <f t="shared" si="16"/>
        <v>0.45121951219512196</v>
      </c>
      <c r="G33" s="38">
        <f t="shared" si="17"/>
        <v>0.27964073805993639</v>
      </c>
      <c r="H33" s="38">
        <f t="shared" si="18"/>
        <v>0.53084648493543762</v>
      </c>
      <c r="I33" s="38">
        <v>383</v>
      </c>
      <c r="J33" s="38">
        <f t="shared" si="19"/>
        <v>0.8065377920416883</v>
      </c>
    </row>
    <row r="34" spans="1:10" x14ac:dyDescent="0.25">
      <c r="A34" s="83"/>
      <c r="B34" s="37" t="s">
        <v>88</v>
      </c>
      <c r="C34" s="38">
        <v>0.37</v>
      </c>
      <c r="D34" s="38">
        <v>0.72</v>
      </c>
      <c r="E34" s="38">
        <v>0.77</v>
      </c>
      <c r="F34" s="38">
        <f t="shared" si="16"/>
        <v>0.51388888888888895</v>
      </c>
      <c r="G34" s="38">
        <f t="shared" si="17"/>
        <v>0.42582293954915079</v>
      </c>
      <c r="H34" s="38">
        <f t="shared" si="18"/>
        <v>0.66738816738816742</v>
      </c>
      <c r="I34" s="38">
        <v>384</v>
      </c>
      <c r="J34" s="38">
        <f t="shared" si="19"/>
        <v>1.0139914160408672</v>
      </c>
    </row>
    <row r="35" spans="1:10" x14ac:dyDescent="0.25">
      <c r="A35" s="84"/>
      <c r="B35" s="79" t="s">
        <v>17</v>
      </c>
      <c r="C35" s="80"/>
      <c r="D35" s="80"/>
      <c r="E35" s="81"/>
      <c r="F35" s="39">
        <f>SUM(F27:F34)</f>
        <v>39.862835673811283</v>
      </c>
      <c r="G35" s="39">
        <f>SUM(G27:G34)</f>
        <v>1.1865813405612531</v>
      </c>
      <c r="H35" s="39">
        <f>SUM(H27:H34)</f>
        <v>40.28603041820157</v>
      </c>
      <c r="I35" s="38" t="s">
        <v>21</v>
      </c>
      <c r="J35" s="39">
        <f>SUM(J27:J34)</f>
        <v>61.208290806658226</v>
      </c>
    </row>
    <row r="37" spans="1:10" s="5" customFormat="1" ht="12" x14ac:dyDescent="0.25">
      <c r="F37" s="31" t="s">
        <v>39</v>
      </c>
      <c r="G37" s="31" t="s">
        <v>40</v>
      </c>
      <c r="H37" s="31" t="s">
        <v>42</v>
      </c>
      <c r="I37" s="4"/>
      <c r="J37" s="4"/>
    </row>
    <row r="38" spans="1:10" s="5" customFormat="1" ht="12" x14ac:dyDescent="0.25">
      <c r="F38" s="31" t="s">
        <v>1</v>
      </c>
      <c r="G38" s="31" t="s">
        <v>41</v>
      </c>
      <c r="H38" s="31" t="s">
        <v>41</v>
      </c>
      <c r="I38" s="4"/>
      <c r="J38" s="4"/>
    </row>
    <row r="39" spans="1:10" x14ac:dyDescent="0.25">
      <c r="C39" s="54" t="s">
        <v>38</v>
      </c>
      <c r="D39" s="57" t="s">
        <v>44</v>
      </c>
      <c r="E39" s="58"/>
      <c r="F39" s="33">
        <f>MAX(F14,F20,F26)</f>
        <v>32.323232323232325</v>
      </c>
      <c r="G39" s="32">
        <f>MAX(J14,J20,J26)</f>
        <v>49.11007074446578</v>
      </c>
      <c r="H39" s="32" t="str">
        <f>"≥"&amp;ROUNDUP(G39,0)+2</f>
        <v>≥52</v>
      </c>
      <c r="I39" s="3"/>
      <c r="J39" s="3"/>
    </row>
    <row r="40" spans="1:10" x14ac:dyDescent="0.25">
      <c r="C40" s="55"/>
      <c r="D40" s="85" t="s">
        <v>93</v>
      </c>
      <c r="E40" s="60"/>
      <c r="F40" s="33">
        <f>MAX(F14,F20,F26,F35)</f>
        <v>39.862835673811283</v>
      </c>
      <c r="G40" s="32">
        <f>MAX(J14,J26,J20,J35)</f>
        <v>61.208290806658226</v>
      </c>
      <c r="H40" s="32" t="str">
        <f>"≥"&amp;ROUNDUP(G40,0)+2</f>
        <v>≥64</v>
      </c>
    </row>
    <row r="42" spans="1:10" ht="62.25" customHeight="1" x14ac:dyDescent="0.25">
      <c r="A42" s="48" t="s">
        <v>55</v>
      </c>
      <c r="B42" s="49"/>
      <c r="C42" s="49"/>
      <c r="D42" s="49"/>
      <c r="E42" s="49"/>
      <c r="F42" s="49"/>
      <c r="G42" s="49"/>
      <c r="H42" s="49"/>
      <c r="I42" s="49"/>
      <c r="J42" s="49"/>
    </row>
  </sheetData>
  <mergeCells count="17">
    <mergeCell ref="A7:A9"/>
    <mergeCell ref="B7:E8"/>
    <mergeCell ref="A15:A20"/>
    <mergeCell ref="B14:E14"/>
    <mergeCell ref="B20:E20"/>
    <mergeCell ref="A21:A26"/>
    <mergeCell ref="B26:E26"/>
    <mergeCell ref="A1:J1"/>
    <mergeCell ref="F2:H2"/>
    <mergeCell ref="A42:J42"/>
    <mergeCell ref="C39:C40"/>
    <mergeCell ref="B3:J3"/>
    <mergeCell ref="A27:A35"/>
    <mergeCell ref="B35:E35"/>
    <mergeCell ref="D39:E39"/>
    <mergeCell ref="D40:E40"/>
    <mergeCell ref="A10:A14"/>
  </mergeCells>
  <pageMargins left="0.7" right="0.7" top="0.75" bottom="0.75" header="0.3" footer="0.3"/>
  <ignoredErrors>
    <ignoredError sqref="F14:J15 F35:J35 F20:J30" formula="1"/>
    <ignoredError sqref="H40 H39" evalError="1"/>
  </ignoredError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A2246-FFC2-4E61-A8E7-B721144FDDB8}">
  <sheetPr codeName="Sayfa2"/>
  <dimension ref="A1:J48"/>
  <sheetViews>
    <sheetView showGridLines="0" topLeftCell="A10" workbookViewId="0">
      <selection activeCell="H43" sqref="H43"/>
    </sheetView>
  </sheetViews>
  <sheetFormatPr defaultRowHeight="13.5" x14ac:dyDescent="0.25"/>
  <cols>
    <col min="1" max="1" width="12" style="1" bestFit="1" customWidth="1"/>
    <col min="2" max="2" width="20.85546875" style="1" bestFit="1" customWidth="1"/>
    <col min="3" max="3" width="11.5703125" style="2" bestFit="1" customWidth="1"/>
    <col min="4" max="4" width="19" style="2" bestFit="1" customWidth="1"/>
    <col min="5" max="5" width="16" style="2" bestFit="1" customWidth="1"/>
    <col min="6" max="7" width="14.7109375" style="2" customWidth="1"/>
    <col min="8" max="8" width="16" style="2" bestFit="1" customWidth="1"/>
    <col min="9" max="10" width="14.7109375" style="2" customWidth="1"/>
    <col min="11" max="16384" width="9.140625" style="1"/>
  </cols>
  <sheetData>
    <row r="1" spans="1:10" ht="49.5" customHeight="1" x14ac:dyDescent="0.25">
      <c r="A1" s="61"/>
      <c r="B1" s="61"/>
      <c r="C1" s="61"/>
      <c r="D1" s="61"/>
      <c r="E1" s="61"/>
      <c r="F1" s="61"/>
      <c r="G1" s="61"/>
      <c r="H1" s="61"/>
      <c r="I1" s="61"/>
      <c r="J1" s="61"/>
    </row>
    <row r="2" spans="1:10" x14ac:dyDescent="0.25">
      <c r="A2" s="1" t="s">
        <v>47</v>
      </c>
      <c r="B2" s="1" t="s">
        <v>91</v>
      </c>
      <c r="C2" s="6" t="s">
        <v>48</v>
      </c>
      <c r="D2" s="34" t="s">
        <v>92</v>
      </c>
      <c r="E2" s="6" t="s">
        <v>49</v>
      </c>
      <c r="F2" s="62" t="s">
        <v>51</v>
      </c>
      <c r="G2" s="62"/>
      <c r="H2" s="62"/>
      <c r="I2" s="6" t="s">
        <v>52</v>
      </c>
      <c r="J2" s="8" t="s">
        <v>53</v>
      </c>
    </row>
    <row r="3" spans="1:10" ht="260.25" customHeight="1" x14ac:dyDescent="0.25">
      <c r="A3" s="1" t="s">
        <v>50</v>
      </c>
      <c r="B3" s="48" t="s">
        <v>54</v>
      </c>
      <c r="C3" s="48"/>
      <c r="D3" s="48"/>
      <c r="E3" s="48"/>
      <c r="F3" s="48"/>
      <c r="G3" s="48"/>
      <c r="H3" s="48"/>
      <c r="I3" s="48"/>
      <c r="J3" s="48"/>
    </row>
    <row r="5" spans="1:10" ht="102.75" customHeight="1" x14ac:dyDescent="0.25"/>
    <row r="6" spans="1:10" ht="35.25" customHeight="1" x14ac:dyDescent="0.25"/>
    <row r="7" spans="1:10" x14ac:dyDescent="0.25">
      <c r="A7" s="63" t="s">
        <v>0</v>
      </c>
      <c r="B7" s="63" t="s">
        <v>37</v>
      </c>
      <c r="C7" s="63"/>
      <c r="D7" s="63"/>
      <c r="E7" s="63"/>
      <c r="F7" s="10" t="s">
        <v>14</v>
      </c>
      <c r="G7" s="10" t="s">
        <v>15</v>
      </c>
      <c r="H7" s="10" t="s">
        <v>16</v>
      </c>
      <c r="I7" s="10" t="s">
        <v>19</v>
      </c>
      <c r="J7" s="10" t="s">
        <v>18</v>
      </c>
    </row>
    <row r="8" spans="1:10" x14ac:dyDescent="0.25">
      <c r="A8" s="63"/>
      <c r="B8" s="63"/>
      <c r="C8" s="63"/>
      <c r="D8" s="63"/>
      <c r="E8" s="63"/>
      <c r="F8" s="11" t="s">
        <v>23</v>
      </c>
      <c r="G8" s="11" t="s">
        <v>24</v>
      </c>
      <c r="H8" s="11" t="s">
        <v>25</v>
      </c>
      <c r="I8" s="11" t="s">
        <v>22</v>
      </c>
      <c r="J8" s="11" t="s">
        <v>26</v>
      </c>
    </row>
    <row r="9" spans="1:10" x14ac:dyDescent="0.25">
      <c r="A9" s="64"/>
      <c r="B9" s="14" t="s">
        <v>5</v>
      </c>
      <c r="C9" s="15" t="s">
        <v>7</v>
      </c>
      <c r="D9" s="15" t="s">
        <v>8</v>
      </c>
      <c r="E9" s="15" t="s">
        <v>6</v>
      </c>
      <c r="F9" s="16" t="s">
        <v>1</v>
      </c>
      <c r="G9" s="16" t="s">
        <v>2</v>
      </c>
      <c r="H9" s="16" t="s">
        <v>3</v>
      </c>
      <c r="I9" s="16" t="s">
        <v>20</v>
      </c>
      <c r="J9" s="16" t="s">
        <v>4</v>
      </c>
    </row>
    <row r="10" spans="1:10" x14ac:dyDescent="0.25">
      <c r="A10" s="65" t="s">
        <v>9</v>
      </c>
      <c r="B10" s="37" t="s">
        <v>10</v>
      </c>
      <c r="C10" s="38">
        <v>8.25</v>
      </c>
      <c r="D10" s="38">
        <v>0.99</v>
      </c>
      <c r="E10" s="38">
        <v>1</v>
      </c>
      <c r="F10" s="38">
        <f>C10/D10</f>
        <v>8.3333333333333339</v>
      </c>
      <c r="G10" s="38">
        <f>(H10^2-F10^2)^0.5</f>
        <v>0</v>
      </c>
      <c r="H10" s="38">
        <f>F10/E10</f>
        <v>8.3333333333333339</v>
      </c>
      <c r="I10" s="38">
        <v>380</v>
      </c>
      <c r="J10" s="38">
        <f>F10*1000/(380*3^0.5*E10)</f>
        <v>12.661190113807585</v>
      </c>
    </row>
    <row r="11" spans="1:10" x14ac:dyDescent="0.25">
      <c r="A11" s="65"/>
      <c r="B11" s="51" t="s">
        <v>17</v>
      </c>
      <c r="C11" s="51"/>
      <c r="D11" s="51"/>
      <c r="E11" s="51"/>
      <c r="F11" s="39">
        <f>SUM(F10:F10)</f>
        <v>8.3333333333333339</v>
      </c>
      <c r="G11" s="38">
        <f>SUM(G10:G10)</f>
        <v>0</v>
      </c>
      <c r="H11" s="38">
        <f>SUM(H10:H10)</f>
        <v>8.3333333333333339</v>
      </c>
      <c r="I11" s="38" t="s">
        <v>21</v>
      </c>
      <c r="J11" s="39">
        <f>SUM(J10:J10)</f>
        <v>12.661190113807585</v>
      </c>
    </row>
    <row r="12" spans="1:10" x14ac:dyDescent="0.25">
      <c r="A12" s="50" t="s">
        <v>28</v>
      </c>
      <c r="B12" s="37" t="s">
        <v>10</v>
      </c>
      <c r="C12" s="38">
        <v>8.25</v>
      </c>
      <c r="D12" s="38">
        <v>0.99</v>
      </c>
      <c r="E12" s="38">
        <v>1</v>
      </c>
      <c r="F12" s="38">
        <f>C12/D12</f>
        <v>8.3333333333333339</v>
      </c>
      <c r="G12" s="38">
        <f>(H12^2-F12^2)^0.5</f>
        <v>0</v>
      </c>
      <c r="H12" s="38">
        <f>F12/E12</f>
        <v>8.3333333333333339</v>
      </c>
      <c r="I12" s="38">
        <v>380</v>
      </c>
      <c r="J12" s="38">
        <f>F12*1000/(380*3^0.5*E12)</f>
        <v>12.661190113807585</v>
      </c>
    </row>
    <row r="13" spans="1:10" x14ac:dyDescent="0.25">
      <c r="A13" s="50"/>
      <c r="B13" s="37" t="s">
        <v>27</v>
      </c>
      <c r="C13" s="38">
        <v>2.2000000000000002</v>
      </c>
      <c r="D13" s="38">
        <v>0.99</v>
      </c>
      <c r="E13" s="38">
        <v>1</v>
      </c>
      <c r="F13" s="38">
        <f>C13/D13</f>
        <v>2.2222222222222223</v>
      </c>
      <c r="G13" s="38">
        <f>(H13^2-F13^2)^0.5</f>
        <v>0</v>
      </c>
      <c r="H13" s="38">
        <f>F13/E13</f>
        <v>2.2222222222222223</v>
      </c>
      <c r="I13" s="38">
        <v>380</v>
      </c>
      <c r="J13" s="38">
        <f>F13*1000/(380*3^0.5*E13)</f>
        <v>3.3763173636820221</v>
      </c>
    </row>
    <row r="14" spans="1:10" x14ac:dyDescent="0.25">
      <c r="A14" s="50"/>
      <c r="B14" s="37" t="s">
        <v>84</v>
      </c>
      <c r="C14" s="38">
        <v>0.37</v>
      </c>
      <c r="D14" s="38">
        <v>0.99</v>
      </c>
      <c r="E14" s="38">
        <v>1</v>
      </c>
      <c r="F14" s="38">
        <f>C14/D14</f>
        <v>0.37373737373737376</v>
      </c>
      <c r="G14" s="38">
        <f>(H14^2-F14^2)^0.5</f>
        <v>0</v>
      </c>
      <c r="H14" s="38">
        <f>F14/E14</f>
        <v>0.37373737373737376</v>
      </c>
      <c r="I14" s="38">
        <v>380</v>
      </c>
      <c r="J14" s="38">
        <f>F14*1000/(380*3^0.5*E14)</f>
        <v>0.56783519298288554</v>
      </c>
    </row>
    <row r="15" spans="1:10" x14ac:dyDescent="0.25">
      <c r="A15" s="50"/>
      <c r="B15" s="51" t="s">
        <v>17</v>
      </c>
      <c r="C15" s="51"/>
      <c r="D15" s="51"/>
      <c r="E15" s="51"/>
      <c r="F15" s="39">
        <f>SUM(F12:F14)</f>
        <v>10.929292929292931</v>
      </c>
      <c r="G15" s="39">
        <f>SUM(G12:G14)</f>
        <v>0</v>
      </c>
      <c r="H15" s="39">
        <f>SUM(H12:H14)</f>
        <v>10.929292929292931</v>
      </c>
      <c r="I15" s="38" t="s">
        <v>21</v>
      </c>
      <c r="J15" s="39">
        <f>SUM(J12:J14)</f>
        <v>16.605342670472496</v>
      </c>
    </row>
    <row r="16" spans="1:10" x14ac:dyDescent="0.25">
      <c r="A16" s="52" t="s">
        <v>36</v>
      </c>
      <c r="B16" s="37" t="s">
        <v>10</v>
      </c>
      <c r="C16" s="40">
        <v>8.25</v>
      </c>
      <c r="D16" s="40">
        <v>0.99</v>
      </c>
      <c r="E16" s="40">
        <v>1</v>
      </c>
      <c r="F16" s="40">
        <f>C16/D16</f>
        <v>8.3333333333333339</v>
      </c>
      <c r="G16" s="40">
        <f>(H16^2-F16^2)^0.5</f>
        <v>0</v>
      </c>
      <c r="H16" s="40">
        <f>F16/E16</f>
        <v>8.3333333333333339</v>
      </c>
      <c r="I16" s="40">
        <v>380</v>
      </c>
      <c r="J16" s="40">
        <f>F16*1000/(380*3^0.5*E16)</f>
        <v>12.661190113807585</v>
      </c>
    </row>
    <row r="17" spans="1:10" x14ac:dyDescent="0.25">
      <c r="A17" s="52"/>
      <c r="B17" s="37" t="s">
        <v>27</v>
      </c>
      <c r="C17" s="40">
        <v>5.5</v>
      </c>
      <c r="D17" s="40">
        <v>0.99</v>
      </c>
      <c r="E17" s="40">
        <v>1</v>
      </c>
      <c r="F17" s="40">
        <f>C17/D17</f>
        <v>5.5555555555555554</v>
      </c>
      <c r="G17" s="40">
        <f>(H17^2-F17^2)^0.5</f>
        <v>0</v>
      </c>
      <c r="H17" s="40">
        <f>F17/E17</f>
        <v>5.5555555555555554</v>
      </c>
      <c r="I17" s="40">
        <v>380</v>
      </c>
      <c r="J17" s="40">
        <f>F17*1000/(380*3^0.5*E17)</f>
        <v>8.4407934092050567</v>
      </c>
    </row>
    <row r="18" spans="1:10" x14ac:dyDescent="0.25">
      <c r="A18" s="52"/>
      <c r="B18" s="37" t="s">
        <v>84</v>
      </c>
      <c r="C18" s="40">
        <v>0.37</v>
      </c>
      <c r="D18" s="40">
        <v>0.99</v>
      </c>
      <c r="E18" s="40">
        <v>1</v>
      </c>
      <c r="F18" s="40">
        <f>C18/D18</f>
        <v>0.37373737373737376</v>
      </c>
      <c r="G18" s="40">
        <f>(H18^2-F18^2)^0.5</f>
        <v>0</v>
      </c>
      <c r="H18" s="40">
        <f>F18/E18</f>
        <v>0.37373737373737376</v>
      </c>
      <c r="I18" s="40">
        <v>380</v>
      </c>
      <c r="J18" s="40">
        <f>F18*1000/(380*3^0.5*E18)</f>
        <v>0.56783519298288554</v>
      </c>
    </row>
    <row r="19" spans="1:10" x14ac:dyDescent="0.25">
      <c r="A19" s="52"/>
      <c r="B19" s="53" t="s">
        <v>17</v>
      </c>
      <c r="C19" s="53"/>
      <c r="D19" s="53"/>
      <c r="E19" s="53"/>
      <c r="F19" s="41">
        <f>SUM(F16:F18)</f>
        <v>14.262626262626263</v>
      </c>
      <c r="G19" s="41">
        <f>SUM(G16:G18)</f>
        <v>0</v>
      </c>
      <c r="H19" s="41">
        <f>SUM(H16:H18)</f>
        <v>14.262626262626263</v>
      </c>
      <c r="I19" s="40" t="s">
        <v>21</v>
      </c>
      <c r="J19" s="41">
        <f>SUM(J16:J18)</f>
        <v>21.669818715995529</v>
      </c>
    </row>
    <row r="20" spans="1:10" x14ac:dyDescent="0.25">
      <c r="A20" s="50" t="s">
        <v>86</v>
      </c>
      <c r="B20" s="37" t="s">
        <v>10</v>
      </c>
      <c r="C20" s="38">
        <v>8.25</v>
      </c>
      <c r="D20" s="38">
        <v>0.99</v>
      </c>
      <c r="E20" s="38">
        <v>1</v>
      </c>
      <c r="F20" s="38">
        <f>C20/D20</f>
        <v>8.3333333333333339</v>
      </c>
      <c r="G20" s="38">
        <f>(H20^2-F20^2)^0.5</f>
        <v>0</v>
      </c>
      <c r="H20" s="38">
        <f>F20/E20</f>
        <v>8.3333333333333339</v>
      </c>
      <c r="I20" s="38">
        <v>380</v>
      </c>
      <c r="J20" s="38">
        <f>F20*1000/(380*3^0.5*E20)</f>
        <v>12.661190113807585</v>
      </c>
    </row>
    <row r="21" spans="1:10" x14ac:dyDescent="0.25">
      <c r="A21" s="50"/>
      <c r="B21" s="37" t="s">
        <v>87</v>
      </c>
      <c r="C21" s="38">
        <v>3</v>
      </c>
      <c r="D21" s="38">
        <v>0.99</v>
      </c>
      <c r="E21" s="38">
        <v>1</v>
      </c>
      <c r="F21" s="38">
        <f>C21/D21</f>
        <v>3.0303030303030303</v>
      </c>
      <c r="G21" s="38">
        <f>(H21^2-F21^2)^0.5</f>
        <v>0</v>
      </c>
      <c r="H21" s="38">
        <f>F21/E21</f>
        <v>3.0303030303030303</v>
      </c>
      <c r="I21" s="38">
        <v>380</v>
      </c>
      <c r="J21" s="38">
        <f>F21*1000/(380*3^0.5*E21)</f>
        <v>4.6040691322936667</v>
      </c>
    </row>
    <row r="22" spans="1:10" x14ac:dyDescent="0.25">
      <c r="A22" s="50"/>
      <c r="B22" s="37" t="s">
        <v>84</v>
      </c>
      <c r="C22" s="38">
        <v>0.37</v>
      </c>
      <c r="D22" s="38">
        <v>0.99</v>
      </c>
      <c r="E22" s="38">
        <v>1</v>
      </c>
      <c r="F22" s="38">
        <f>C22/D22</f>
        <v>0.37373737373737376</v>
      </c>
      <c r="G22" s="38">
        <f>(H22^2-F22^2)^0.5</f>
        <v>0</v>
      </c>
      <c r="H22" s="38">
        <f>F22/E22</f>
        <v>0.37373737373737376</v>
      </c>
      <c r="I22" s="38">
        <v>380</v>
      </c>
      <c r="J22" s="38">
        <f>F22*1000/(380*3^0.5*E22)</f>
        <v>0.56783519298288554</v>
      </c>
    </row>
    <row r="23" spans="1:10" x14ac:dyDescent="0.25">
      <c r="A23" s="50"/>
      <c r="B23" s="51" t="s">
        <v>17</v>
      </c>
      <c r="C23" s="51"/>
      <c r="D23" s="51"/>
      <c r="E23" s="51"/>
      <c r="F23" s="39">
        <f>SUM(F20:F22)</f>
        <v>11.737373737373737</v>
      </c>
      <c r="G23" s="39">
        <f>SUM(G20:G22)</f>
        <v>0</v>
      </c>
      <c r="H23" s="39">
        <f>SUM(H20:H22)</f>
        <v>11.737373737373737</v>
      </c>
      <c r="I23" s="38" t="s">
        <v>21</v>
      </c>
      <c r="J23" s="39">
        <f>SUM(J20:J22)</f>
        <v>17.833094439084139</v>
      </c>
    </row>
    <row r="24" spans="1:10" x14ac:dyDescent="0.25">
      <c r="A24" s="50" t="s">
        <v>30</v>
      </c>
      <c r="B24" s="37" t="s">
        <v>10</v>
      </c>
      <c r="C24" s="38">
        <v>0</v>
      </c>
      <c r="D24" s="38">
        <v>0.99</v>
      </c>
      <c r="E24" s="38">
        <v>1</v>
      </c>
      <c r="F24" s="38">
        <f>C24/D24</f>
        <v>0</v>
      </c>
      <c r="G24" s="38">
        <f>(H24^2-F24^2)^0.5</f>
        <v>0</v>
      </c>
      <c r="H24" s="38">
        <f>F24/E24</f>
        <v>0</v>
      </c>
      <c r="I24" s="38">
        <v>380</v>
      </c>
      <c r="J24" s="38">
        <f>F24*1000/(380*3^0.5*E24)</f>
        <v>0</v>
      </c>
    </row>
    <row r="25" spans="1:10" x14ac:dyDescent="0.25">
      <c r="A25" s="50"/>
      <c r="B25" s="37" t="s">
        <v>11</v>
      </c>
      <c r="C25" s="38">
        <v>0</v>
      </c>
      <c r="D25" s="38">
        <v>0.99</v>
      </c>
      <c r="E25" s="38">
        <v>1</v>
      </c>
      <c r="F25" s="38">
        <f t="shared" ref="F25:F30" si="0">C25/D25</f>
        <v>0</v>
      </c>
      <c r="G25" s="38">
        <f t="shared" ref="G25:G30" si="1">(H25^2-F25^2)^0.5</f>
        <v>0</v>
      </c>
      <c r="H25" s="38">
        <f t="shared" ref="H25:H30" si="2">F25/E25</f>
        <v>0</v>
      </c>
      <c r="I25" s="38">
        <v>380</v>
      </c>
      <c r="J25" s="38">
        <f t="shared" ref="J25:J30" si="3">F25*1000/(380*3^0.5*E25)</f>
        <v>0</v>
      </c>
    </row>
    <row r="26" spans="1:10" x14ac:dyDescent="0.25">
      <c r="A26" s="50"/>
      <c r="B26" s="37" t="s">
        <v>12</v>
      </c>
      <c r="C26" s="38">
        <v>0</v>
      </c>
      <c r="D26" s="38">
        <v>0.99</v>
      </c>
      <c r="E26" s="38">
        <v>1</v>
      </c>
      <c r="F26" s="38">
        <f t="shared" si="0"/>
        <v>0</v>
      </c>
      <c r="G26" s="38">
        <f t="shared" si="1"/>
        <v>0</v>
      </c>
      <c r="H26" s="38">
        <f t="shared" si="2"/>
        <v>0</v>
      </c>
      <c r="I26" s="38">
        <v>380</v>
      </c>
      <c r="J26" s="38">
        <f t="shared" si="3"/>
        <v>0</v>
      </c>
    </row>
    <row r="27" spans="1:10" x14ac:dyDescent="0.25">
      <c r="A27" s="50"/>
      <c r="B27" s="37" t="s">
        <v>13</v>
      </c>
      <c r="C27" s="38">
        <v>0</v>
      </c>
      <c r="D27" s="38">
        <v>0.99</v>
      </c>
      <c r="E27" s="38">
        <v>1</v>
      </c>
      <c r="F27" s="38">
        <f t="shared" si="0"/>
        <v>0</v>
      </c>
      <c r="G27" s="38">
        <f t="shared" si="1"/>
        <v>0</v>
      </c>
      <c r="H27" s="38">
        <f t="shared" si="2"/>
        <v>0</v>
      </c>
      <c r="I27" s="38">
        <v>380</v>
      </c>
      <c r="J27" s="38">
        <f t="shared" si="3"/>
        <v>0</v>
      </c>
    </row>
    <row r="28" spans="1:10" x14ac:dyDescent="0.25">
      <c r="A28" s="50"/>
      <c r="B28" s="37" t="s">
        <v>32</v>
      </c>
      <c r="C28" s="38">
        <v>0</v>
      </c>
      <c r="D28" s="38">
        <v>0.99</v>
      </c>
      <c r="E28" s="38">
        <v>1</v>
      </c>
      <c r="F28" s="38">
        <f t="shared" si="0"/>
        <v>0</v>
      </c>
      <c r="G28" s="38">
        <f t="shared" si="1"/>
        <v>0</v>
      </c>
      <c r="H28" s="38">
        <f t="shared" si="2"/>
        <v>0</v>
      </c>
      <c r="I28" s="38">
        <v>380</v>
      </c>
      <c r="J28" s="38">
        <f>F28*1000/(380*3^0.5*E28)</f>
        <v>0</v>
      </c>
    </row>
    <row r="29" spans="1:10" x14ac:dyDescent="0.25">
      <c r="A29" s="50"/>
      <c r="B29" s="37" t="s">
        <v>31</v>
      </c>
      <c r="C29" s="38">
        <v>0</v>
      </c>
      <c r="D29" s="38">
        <v>0.88</v>
      </c>
      <c r="E29" s="38">
        <v>0.87</v>
      </c>
      <c r="F29" s="38">
        <f t="shared" si="0"/>
        <v>0</v>
      </c>
      <c r="G29" s="38">
        <f t="shared" si="1"/>
        <v>0</v>
      </c>
      <c r="H29" s="38">
        <f t="shared" si="2"/>
        <v>0</v>
      </c>
      <c r="I29" s="38">
        <v>380</v>
      </c>
      <c r="J29" s="38">
        <f>F29*1000/(380*3^0.5*E29)</f>
        <v>0</v>
      </c>
    </row>
    <row r="30" spans="1:10" x14ac:dyDescent="0.25">
      <c r="A30" s="50"/>
      <c r="B30" s="37" t="s">
        <v>33</v>
      </c>
      <c r="C30" s="38">
        <v>0</v>
      </c>
      <c r="D30" s="38">
        <v>0.78</v>
      </c>
      <c r="E30" s="38">
        <v>0.8</v>
      </c>
      <c r="F30" s="38">
        <f t="shared" si="0"/>
        <v>0</v>
      </c>
      <c r="G30" s="38">
        <f t="shared" si="1"/>
        <v>0</v>
      </c>
      <c r="H30" s="38">
        <f t="shared" si="2"/>
        <v>0</v>
      </c>
      <c r="I30" s="38">
        <v>380</v>
      </c>
      <c r="J30" s="38">
        <f t="shared" si="3"/>
        <v>0</v>
      </c>
    </row>
    <row r="31" spans="1:10" x14ac:dyDescent="0.25">
      <c r="A31" s="50"/>
      <c r="B31" s="51" t="s">
        <v>17</v>
      </c>
      <c r="C31" s="51"/>
      <c r="D31" s="51"/>
      <c r="E31" s="51"/>
      <c r="F31" s="39">
        <f>SUM(F24:F30)</f>
        <v>0</v>
      </c>
      <c r="G31" s="39">
        <f>SUM(G24:G30)</f>
        <v>0</v>
      </c>
      <c r="H31" s="39">
        <f>SUM(H24:H30)</f>
        <v>0</v>
      </c>
      <c r="I31" s="38" t="s">
        <v>21</v>
      </c>
      <c r="J31" s="39">
        <f>SUM(J24:J30)</f>
        <v>0</v>
      </c>
    </row>
    <row r="32" spans="1:10" x14ac:dyDescent="0.25">
      <c r="A32" s="52" t="s">
        <v>35</v>
      </c>
      <c r="B32" s="42" t="s">
        <v>10</v>
      </c>
      <c r="C32" s="40">
        <v>0</v>
      </c>
      <c r="D32" s="40">
        <v>0.99</v>
      </c>
      <c r="E32" s="40">
        <v>1</v>
      </c>
      <c r="F32" s="40">
        <f>C32/D32</f>
        <v>0</v>
      </c>
      <c r="G32" s="40">
        <f>(H32^2-F32^2)^0.5</f>
        <v>0</v>
      </c>
      <c r="H32" s="40">
        <f>F32/E32</f>
        <v>0</v>
      </c>
      <c r="I32" s="40">
        <v>380</v>
      </c>
      <c r="J32" s="40">
        <f>F32*1000/(380*3^0.5*E32)</f>
        <v>0</v>
      </c>
    </row>
    <row r="33" spans="1:10" x14ac:dyDescent="0.25">
      <c r="A33" s="52"/>
      <c r="B33" s="42" t="s">
        <v>11</v>
      </c>
      <c r="C33" s="40">
        <v>0</v>
      </c>
      <c r="D33" s="40">
        <v>0.99</v>
      </c>
      <c r="E33" s="40">
        <v>1</v>
      </c>
      <c r="F33" s="40">
        <f t="shared" ref="F33:F38" si="4">C33/D33</f>
        <v>0</v>
      </c>
      <c r="G33" s="40">
        <f t="shared" ref="G33:G38" si="5">(H33^2-F33^2)^0.5</f>
        <v>0</v>
      </c>
      <c r="H33" s="40">
        <f t="shared" ref="H33:H38" si="6">F33/E33</f>
        <v>0</v>
      </c>
      <c r="I33" s="40">
        <v>380</v>
      </c>
      <c r="J33" s="40">
        <f t="shared" ref="J33:J38" si="7">F33*1000/(380*3^0.5*E33)</f>
        <v>0</v>
      </c>
    </row>
    <row r="34" spans="1:10" x14ac:dyDescent="0.25">
      <c r="A34" s="52"/>
      <c r="B34" s="42" t="s">
        <v>12</v>
      </c>
      <c r="C34" s="40">
        <v>0</v>
      </c>
      <c r="D34" s="40">
        <v>0.99</v>
      </c>
      <c r="E34" s="40">
        <v>1</v>
      </c>
      <c r="F34" s="40">
        <f t="shared" si="4"/>
        <v>0</v>
      </c>
      <c r="G34" s="40">
        <f t="shared" si="5"/>
        <v>0</v>
      </c>
      <c r="H34" s="40">
        <f t="shared" si="6"/>
        <v>0</v>
      </c>
      <c r="I34" s="40">
        <v>380</v>
      </c>
      <c r="J34" s="40">
        <f t="shared" si="7"/>
        <v>0</v>
      </c>
    </row>
    <row r="35" spans="1:10" x14ac:dyDescent="0.25">
      <c r="A35" s="52"/>
      <c r="B35" s="42" t="s">
        <v>13</v>
      </c>
      <c r="C35" s="40">
        <v>0</v>
      </c>
      <c r="D35" s="40">
        <v>0.99</v>
      </c>
      <c r="E35" s="40">
        <v>1</v>
      </c>
      <c r="F35" s="40">
        <f t="shared" si="4"/>
        <v>0</v>
      </c>
      <c r="G35" s="40">
        <f t="shared" si="5"/>
        <v>0</v>
      </c>
      <c r="H35" s="40">
        <f t="shared" si="6"/>
        <v>0</v>
      </c>
      <c r="I35" s="40">
        <v>380</v>
      </c>
      <c r="J35" s="40">
        <f t="shared" si="7"/>
        <v>0</v>
      </c>
    </row>
    <row r="36" spans="1:10" x14ac:dyDescent="0.25">
      <c r="A36" s="52"/>
      <c r="B36" s="42" t="s">
        <v>32</v>
      </c>
      <c r="C36" s="40">
        <v>0</v>
      </c>
      <c r="D36" s="40">
        <v>0.99</v>
      </c>
      <c r="E36" s="40">
        <v>1</v>
      </c>
      <c r="F36" s="40">
        <f t="shared" si="4"/>
        <v>0</v>
      </c>
      <c r="G36" s="40">
        <f t="shared" si="5"/>
        <v>0</v>
      </c>
      <c r="H36" s="40">
        <f t="shared" si="6"/>
        <v>0</v>
      </c>
      <c r="I36" s="40">
        <v>380</v>
      </c>
      <c r="J36" s="40">
        <f t="shared" si="7"/>
        <v>0</v>
      </c>
    </row>
    <row r="37" spans="1:10" x14ac:dyDescent="0.25">
      <c r="A37" s="52"/>
      <c r="B37" s="42" t="s">
        <v>31</v>
      </c>
      <c r="C37" s="40">
        <v>0</v>
      </c>
      <c r="D37" s="40">
        <v>0.89</v>
      </c>
      <c r="E37" s="40">
        <v>0.88</v>
      </c>
      <c r="F37" s="40">
        <f t="shared" si="4"/>
        <v>0</v>
      </c>
      <c r="G37" s="40">
        <f t="shared" si="5"/>
        <v>0</v>
      </c>
      <c r="H37" s="40">
        <f t="shared" si="6"/>
        <v>0</v>
      </c>
      <c r="I37" s="40">
        <v>380</v>
      </c>
      <c r="J37" s="40">
        <f t="shared" si="7"/>
        <v>0</v>
      </c>
    </row>
    <row r="38" spans="1:10" x14ac:dyDescent="0.25">
      <c r="A38" s="52"/>
      <c r="B38" s="42" t="s">
        <v>33</v>
      </c>
      <c r="C38" s="40">
        <v>0</v>
      </c>
      <c r="D38" s="40">
        <v>0.78</v>
      </c>
      <c r="E38" s="40">
        <v>0.8</v>
      </c>
      <c r="F38" s="40">
        <f t="shared" si="4"/>
        <v>0</v>
      </c>
      <c r="G38" s="40">
        <f t="shared" si="5"/>
        <v>0</v>
      </c>
      <c r="H38" s="40">
        <f t="shared" si="6"/>
        <v>0</v>
      </c>
      <c r="I38" s="40">
        <v>380</v>
      </c>
      <c r="J38" s="40">
        <f t="shared" si="7"/>
        <v>0</v>
      </c>
    </row>
    <row r="39" spans="1:10" x14ac:dyDescent="0.25">
      <c r="A39" s="52"/>
      <c r="B39" s="53" t="s">
        <v>17</v>
      </c>
      <c r="C39" s="53"/>
      <c r="D39" s="53"/>
      <c r="E39" s="53"/>
      <c r="F39" s="41">
        <f>SUM(F32:F38)</f>
        <v>0</v>
      </c>
      <c r="G39" s="41">
        <f>SUM(G32:G38)</f>
        <v>0</v>
      </c>
      <c r="H39" s="41">
        <f>SUM(H32:H38)</f>
        <v>0</v>
      </c>
      <c r="I39" s="40" t="s">
        <v>21</v>
      </c>
      <c r="J39" s="41">
        <f>SUM(J32:J38)</f>
        <v>0</v>
      </c>
    </row>
    <row r="41" spans="1:10" s="5" customFormat="1" ht="12" x14ac:dyDescent="0.25">
      <c r="F41" s="31" t="s">
        <v>39</v>
      </c>
      <c r="G41" s="31" t="s">
        <v>40</v>
      </c>
      <c r="H41" s="31" t="s">
        <v>42</v>
      </c>
      <c r="I41" s="4"/>
      <c r="J41" s="4"/>
    </row>
    <row r="42" spans="1:10" s="5" customFormat="1" ht="12" x14ac:dyDescent="0.25">
      <c r="F42" s="31" t="s">
        <v>1</v>
      </c>
      <c r="G42" s="31" t="s">
        <v>41</v>
      </c>
      <c r="H42" s="31" t="s">
        <v>41</v>
      </c>
      <c r="I42" s="4"/>
      <c r="J42" s="4"/>
    </row>
    <row r="43" spans="1:10" x14ac:dyDescent="0.25">
      <c r="C43" s="54" t="s">
        <v>38</v>
      </c>
      <c r="D43" s="57" t="s">
        <v>44</v>
      </c>
      <c r="E43" s="58"/>
      <c r="F43" s="33">
        <f>MAX(F11,F15,F23,F31)</f>
        <v>11.737373737373737</v>
      </c>
      <c r="G43" s="32">
        <f>MAX(J11,J15,J23,J31)</f>
        <v>17.833094439084139</v>
      </c>
      <c r="H43" s="32" t="str">
        <f>"≥"&amp;ROUNDUP(G43,0)+2</f>
        <v>≥20</v>
      </c>
      <c r="I43" s="3"/>
      <c r="J43" s="3"/>
    </row>
    <row r="44" spans="1:10" x14ac:dyDescent="0.25">
      <c r="C44" s="55"/>
      <c r="D44" s="85" t="s">
        <v>43</v>
      </c>
      <c r="E44" s="60"/>
      <c r="F44" s="33">
        <f>MAX(F11,F19,F23,F31)</f>
        <v>14.262626262626263</v>
      </c>
      <c r="G44" s="32">
        <f>MAX(J11,J19,J23,J31)</f>
        <v>21.669818715995529</v>
      </c>
      <c r="H44" s="32" t="str">
        <f>"≥"&amp;ROUNDUP(G44,0)+2</f>
        <v>≥24</v>
      </c>
    </row>
    <row r="45" spans="1:10" x14ac:dyDescent="0.25">
      <c r="C45" s="55"/>
      <c r="D45" s="85" t="s">
        <v>46</v>
      </c>
      <c r="E45" s="60"/>
      <c r="F45" s="33">
        <f>MAX(F11,F15,F23,F39)</f>
        <v>11.737373737373737</v>
      </c>
      <c r="G45" s="32">
        <f>MAX(J11,J15,J23,J39)</f>
        <v>17.833094439084139</v>
      </c>
      <c r="H45" s="32" t="str">
        <f>"≥"&amp;ROUNDUP(G45,0)+2</f>
        <v>≥20</v>
      </c>
    </row>
    <row r="46" spans="1:10" x14ac:dyDescent="0.25">
      <c r="C46" s="56"/>
      <c r="D46" s="85" t="s">
        <v>45</v>
      </c>
      <c r="E46" s="60"/>
      <c r="F46" s="33">
        <f>MAX(F11,F19,F23,F39)</f>
        <v>14.262626262626263</v>
      </c>
      <c r="G46" s="32">
        <f>MAX(J11,J19,J23,J39)</f>
        <v>21.669818715995529</v>
      </c>
      <c r="H46" s="32" t="str">
        <f>"≥"&amp;ROUNDUP(G46,0)+2</f>
        <v>≥24</v>
      </c>
    </row>
    <row r="48" spans="1:10" ht="62.25" customHeight="1" x14ac:dyDescent="0.25">
      <c r="A48" s="48" t="s">
        <v>55</v>
      </c>
      <c r="B48" s="49"/>
      <c r="C48" s="49"/>
      <c r="D48" s="49"/>
      <c r="E48" s="49"/>
      <c r="F48" s="49"/>
      <c r="G48" s="49"/>
      <c r="H48" s="49"/>
      <c r="I48" s="49"/>
      <c r="J48" s="49"/>
    </row>
  </sheetData>
  <mergeCells count="23">
    <mergeCell ref="A10:A11"/>
    <mergeCell ref="B11:E11"/>
    <mergeCell ref="A1:J1"/>
    <mergeCell ref="F2:H2"/>
    <mergeCell ref="B3:J3"/>
    <mergeCell ref="A7:A9"/>
    <mergeCell ref="B7:E8"/>
    <mergeCell ref="A12:A15"/>
    <mergeCell ref="B15:E15"/>
    <mergeCell ref="A16:A19"/>
    <mergeCell ref="B19:E19"/>
    <mergeCell ref="A20:A23"/>
    <mergeCell ref="B23:E23"/>
    <mergeCell ref="A48:J48"/>
    <mergeCell ref="A24:A31"/>
    <mergeCell ref="B31:E31"/>
    <mergeCell ref="A32:A39"/>
    <mergeCell ref="B39:E39"/>
    <mergeCell ref="C43:C46"/>
    <mergeCell ref="D43:E43"/>
    <mergeCell ref="D44:E44"/>
    <mergeCell ref="D45:E45"/>
    <mergeCell ref="D46:E46"/>
  </mergeCells>
  <pageMargins left="0.7" right="0.7" top="0.75" bottom="0.75" header="0.3" footer="0.3"/>
  <ignoredErrors>
    <ignoredError sqref="F11:J11 F15:J37" formula="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284DC-1A8A-439F-BD08-41AA3594172C}">
  <sheetPr codeName="Sayfa3"/>
  <dimension ref="A1:J48"/>
  <sheetViews>
    <sheetView showGridLines="0" workbookViewId="0">
      <selection activeCell="O3" sqref="O3"/>
    </sheetView>
  </sheetViews>
  <sheetFormatPr defaultRowHeight="13.5" x14ac:dyDescent="0.25"/>
  <cols>
    <col min="1" max="1" width="12" style="1" bestFit="1" customWidth="1"/>
    <col min="2" max="2" width="20.85546875" style="1" bestFit="1" customWidth="1"/>
    <col min="3" max="3" width="11.5703125" style="2" bestFit="1" customWidth="1"/>
    <col min="4" max="4" width="19" style="2" bestFit="1" customWidth="1"/>
    <col min="5" max="5" width="16" style="2" bestFit="1" customWidth="1"/>
    <col min="6" max="7" width="14.7109375" style="2" customWidth="1"/>
    <col min="8" max="8" width="16" style="2" bestFit="1" customWidth="1"/>
    <col min="9" max="10" width="14.7109375" style="2" customWidth="1"/>
    <col min="11" max="16384" width="9.140625" style="1"/>
  </cols>
  <sheetData>
    <row r="1" spans="1:10" ht="49.5" customHeight="1" x14ac:dyDescent="0.25">
      <c r="A1" s="61"/>
      <c r="B1" s="61"/>
      <c r="C1" s="61"/>
      <c r="D1" s="61"/>
      <c r="E1" s="61"/>
      <c r="F1" s="61"/>
      <c r="G1" s="61"/>
      <c r="H1" s="61"/>
      <c r="I1" s="61"/>
      <c r="J1" s="61"/>
    </row>
    <row r="2" spans="1:10" x14ac:dyDescent="0.25">
      <c r="A2" s="1" t="s">
        <v>47</v>
      </c>
      <c r="B2" s="1" t="s">
        <v>91</v>
      </c>
      <c r="C2" s="6" t="s">
        <v>48</v>
      </c>
      <c r="D2" s="34" t="s">
        <v>92</v>
      </c>
      <c r="E2" s="6" t="s">
        <v>49</v>
      </c>
      <c r="F2" s="62" t="s">
        <v>51</v>
      </c>
      <c r="G2" s="62"/>
      <c r="H2" s="62"/>
      <c r="I2" s="6" t="s">
        <v>52</v>
      </c>
      <c r="J2" s="8" t="s">
        <v>53</v>
      </c>
    </row>
    <row r="3" spans="1:10" ht="260.25" customHeight="1" x14ac:dyDescent="0.25">
      <c r="A3" s="1" t="s">
        <v>50</v>
      </c>
      <c r="B3" s="48" t="s">
        <v>54</v>
      </c>
      <c r="C3" s="48"/>
      <c r="D3" s="48"/>
      <c r="E3" s="48"/>
      <c r="F3" s="48"/>
      <c r="G3" s="48"/>
      <c r="H3" s="48"/>
      <c r="I3" s="48"/>
      <c r="J3" s="48"/>
    </row>
    <row r="5" spans="1:10" ht="102.75" customHeight="1" x14ac:dyDescent="0.25"/>
    <row r="6" spans="1:10" ht="35.25" customHeight="1" x14ac:dyDescent="0.25"/>
    <row r="7" spans="1:10" x14ac:dyDescent="0.25">
      <c r="A7" s="63" t="s">
        <v>0</v>
      </c>
      <c r="B7" s="63" t="s">
        <v>37</v>
      </c>
      <c r="C7" s="63"/>
      <c r="D7" s="63"/>
      <c r="E7" s="63"/>
      <c r="F7" s="10" t="s">
        <v>14</v>
      </c>
      <c r="G7" s="10" t="s">
        <v>15</v>
      </c>
      <c r="H7" s="10" t="s">
        <v>16</v>
      </c>
      <c r="I7" s="10" t="s">
        <v>19</v>
      </c>
      <c r="J7" s="10" t="s">
        <v>18</v>
      </c>
    </row>
    <row r="8" spans="1:10" x14ac:dyDescent="0.25">
      <c r="A8" s="63"/>
      <c r="B8" s="63"/>
      <c r="C8" s="63"/>
      <c r="D8" s="63"/>
      <c r="E8" s="63"/>
      <c r="F8" s="11" t="s">
        <v>23</v>
      </c>
      <c r="G8" s="11" t="s">
        <v>24</v>
      </c>
      <c r="H8" s="11" t="s">
        <v>25</v>
      </c>
      <c r="I8" s="11" t="s">
        <v>22</v>
      </c>
      <c r="J8" s="11" t="s">
        <v>26</v>
      </c>
    </row>
    <row r="9" spans="1:10" x14ac:dyDescent="0.25">
      <c r="A9" s="64"/>
      <c r="B9" s="14" t="s">
        <v>5</v>
      </c>
      <c r="C9" s="15" t="s">
        <v>7</v>
      </c>
      <c r="D9" s="15" t="s">
        <v>8</v>
      </c>
      <c r="E9" s="15" t="s">
        <v>6</v>
      </c>
      <c r="F9" s="16" t="s">
        <v>1</v>
      </c>
      <c r="G9" s="16" t="s">
        <v>2</v>
      </c>
      <c r="H9" s="16" t="s">
        <v>3</v>
      </c>
      <c r="I9" s="16" t="s">
        <v>20</v>
      </c>
      <c r="J9" s="16" t="s">
        <v>4</v>
      </c>
    </row>
    <row r="10" spans="1:10" x14ac:dyDescent="0.25">
      <c r="A10" s="65" t="s">
        <v>9</v>
      </c>
      <c r="B10" s="37" t="s">
        <v>10</v>
      </c>
      <c r="C10" s="38">
        <v>8.25</v>
      </c>
      <c r="D10" s="38">
        <v>0.99</v>
      </c>
      <c r="E10" s="38">
        <v>1</v>
      </c>
      <c r="F10" s="38">
        <f>C10/D10</f>
        <v>8.3333333333333339</v>
      </c>
      <c r="G10" s="38">
        <f>(H10^2-F10^2)^0.5</f>
        <v>0</v>
      </c>
      <c r="H10" s="38">
        <f>F10/E10</f>
        <v>8.3333333333333339</v>
      </c>
      <c r="I10" s="38">
        <v>380</v>
      </c>
      <c r="J10" s="38">
        <f>F10*1000/(380*3^0.5*E10)</f>
        <v>12.661190113807585</v>
      </c>
    </row>
    <row r="11" spans="1:10" x14ac:dyDescent="0.25">
      <c r="A11" s="65"/>
      <c r="B11" s="51" t="s">
        <v>17</v>
      </c>
      <c r="C11" s="51"/>
      <c r="D11" s="51"/>
      <c r="E11" s="51"/>
      <c r="F11" s="39">
        <f>SUM(F10:F10)</f>
        <v>8.3333333333333339</v>
      </c>
      <c r="G11" s="38">
        <f>SUM(G10:G10)</f>
        <v>0</v>
      </c>
      <c r="H11" s="38">
        <f>SUM(H10:H10)</f>
        <v>8.3333333333333339</v>
      </c>
      <c r="I11" s="38" t="s">
        <v>21</v>
      </c>
      <c r="J11" s="39">
        <f>SUM(J10:J10)</f>
        <v>12.661190113807585</v>
      </c>
    </row>
    <row r="12" spans="1:10" x14ac:dyDescent="0.25">
      <c r="A12" s="50" t="s">
        <v>28</v>
      </c>
      <c r="B12" s="37" t="s">
        <v>10</v>
      </c>
      <c r="C12" s="38">
        <v>8.25</v>
      </c>
      <c r="D12" s="38">
        <v>0.99</v>
      </c>
      <c r="E12" s="38">
        <v>1</v>
      </c>
      <c r="F12" s="38">
        <f>C12/D12</f>
        <v>8.3333333333333339</v>
      </c>
      <c r="G12" s="38">
        <f>(H12^2-F12^2)^0.5</f>
        <v>0</v>
      </c>
      <c r="H12" s="38">
        <f>F12/E12</f>
        <v>8.3333333333333339</v>
      </c>
      <c r="I12" s="38">
        <v>380</v>
      </c>
      <c r="J12" s="38">
        <f>F12*1000/(380*3^0.5*E12)</f>
        <v>12.661190113807585</v>
      </c>
    </row>
    <row r="13" spans="1:10" x14ac:dyDescent="0.25">
      <c r="A13" s="50"/>
      <c r="B13" s="37" t="s">
        <v>27</v>
      </c>
      <c r="C13" s="38">
        <v>2.2000000000000002</v>
      </c>
      <c r="D13" s="38">
        <v>0.99</v>
      </c>
      <c r="E13" s="38">
        <v>1</v>
      </c>
      <c r="F13" s="38">
        <f>C13/D13</f>
        <v>2.2222222222222223</v>
      </c>
      <c r="G13" s="38">
        <f>(H13^2-F13^2)^0.5</f>
        <v>0</v>
      </c>
      <c r="H13" s="38">
        <f>F13/E13</f>
        <v>2.2222222222222223</v>
      </c>
      <c r="I13" s="38">
        <v>380</v>
      </c>
      <c r="J13" s="38">
        <f>F13*1000/(380*3^0.5*E13)</f>
        <v>3.3763173636820221</v>
      </c>
    </row>
    <row r="14" spans="1:10" x14ac:dyDescent="0.25">
      <c r="A14" s="50"/>
      <c r="B14" s="37" t="s">
        <v>84</v>
      </c>
      <c r="C14" s="38">
        <v>0.37</v>
      </c>
      <c r="D14" s="38">
        <v>0.99</v>
      </c>
      <c r="E14" s="38">
        <v>1</v>
      </c>
      <c r="F14" s="38">
        <f>C14/D14</f>
        <v>0.37373737373737376</v>
      </c>
      <c r="G14" s="38">
        <f>(H14^2-F14^2)^0.5</f>
        <v>0</v>
      </c>
      <c r="H14" s="38">
        <f>F14/E14</f>
        <v>0.37373737373737376</v>
      </c>
      <c r="I14" s="38">
        <v>380</v>
      </c>
      <c r="J14" s="38">
        <f>F14*1000/(380*3^0.5*E14)</f>
        <v>0.56783519298288554</v>
      </c>
    </row>
    <row r="15" spans="1:10" x14ac:dyDescent="0.25">
      <c r="A15" s="50"/>
      <c r="B15" s="51" t="s">
        <v>17</v>
      </c>
      <c r="C15" s="51"/>
      <c r="D15" s="51"/>
      <c r="E15" s="51"/>
      <c r="F15" s="39">
        <f>SUM(F12:F14)</f>
        <v>10.929292929292931</v>
      </c>
      <c r="G15" s="39">
        <f>SUM(G12:G14)</f>
        <v>0</v>
      </c>
      <c r="H15" s="39">
        <f>SUM(H12:H14)</f>
        <v>10.929292929292931</v>
      </c>
      <c r="I15" s="38" t="s">
        <v>21</v>
      </c>
      <c r="J15" s="39">
        <f>SUM(J12:J14)</f>
        <v>16.605342670472496</v>
      </c>
    </row>
    <row r="16" spans="1:10" x14ac:dyDescent="0.25">
      <c r="A16" s="52" t="s">
        <v>36</v>
      </c>
      <c r="B16" s="37" t="s">
        <v>10</v>
      </c>
      <c r="C16" s="40">
        <v>8.25</v>
      </c>
      <c r="D16" s="40">
        <v>0.99</v>
      </c>
      <c r="E16" s="40">
        <v>1</v>
      </c>
      <c r="F16" s="40">
        <f>C16/D16</f>
        <v>8.3333333333333339</v>
      </c>
      <c r="G16" s="40">
        <f>(H16^2-F16^2)^0.5</f>
        <v>0</v>
      </c>
      <c r="H16" s="40">
        <f>F16/E16</f>
        <v>8.3333333333333339</v>
      </c>
      <c r="I16" s="40">
        <v>380</v>
      </c>
      <c r="J16" s="40">
        <f>F16*1000/(380*3^0.5*E16)</f>
        <v>12.661190113807585</v>
      </c>
    </row>
    <row r="17" spans="1:10" x14ac:dyDescent="0.25">
      <c r="A17" s="52"/>
      <c r="B17" s="37" t="s">
        <v>27</v>
      </c>
      <c r="C17" s="40">
        <v>5.5</v>
      </c>
      <c r="D17" s="40">
        <v>0.99</v>
      </c>
      <c r="E17" s="40">
        <v>1</v>
      </c>
      <c r="F17" s="40">
        <f>C17/D17</f>
        <v>5.5555555555555554</v>
      </c>
      <c r="G17" s="40">
        <f>(H17^2-F17^2)^0.5</f>
        <v>0</v>
      </c>
      <c r="H17" s="40">
        <f>F17/E17</f>
        <v>5.5555555555555554</v>
      </c>
      <c r="I17" s="40">
        <v>380</v>
      </c>
      <c r="J17" s="40">
        <f>F17*1000/(380*3^0.5*E17)</f>
        <v>8.4407934092050567</v>
      </c>
    </row>
    <row r="18" spans="1:10" x14ac:dyDescent="0.25">
      <c r="A18" s="52"/>
      <c r="B18" s="37" t="s">
        <v>84</v>
      </c>
      <c r="C18" s="40">
        <v>0.37</v>
      </c>
      <c r="D18" s="40">
        <v>0.99</v>
      </c>
      <c r="E18" s="40">
        <v>1</v>
      </c>
      <c r="F18" s="40">
        <f>C18/D18</f>
        <v>0.37373737373737376</v>
      </c>
      <c r="G18" s="40">
        <f>(H18^2-F18^2)^0.5</f>
        <v>0</v>
      </c>
      <c r="H18" s="40">
        <f>F18/E18</f>
        <v>0.37373737373737376</v>
      </c>
      <c r="I18" s="40">
        <v>380</v>
      </c>
      <c r="J18" s="40">
        <f>F18*1000/(380*3^0.5*E18)</f>
        <v>0.56783519298288554</v>
      </c>
    </row>
    <row r="19" spans="1:10" x14ac:dyDescent="0.25">
      <c r="A19" s="52"/>
      <c r="B19" s="53" t="s">
        <v>17</v>
      </c>
      <c r="C19" s="53"/>
      <c r="D19" s="53"/>
      <c r="E19" s="53"/>
      <c r="F19" s="41">
        <f>SUM(F16:F18)</f>
        <v>14.262626262626263</v>
      </c>
      <c r="G19" s="41">
        <f>SUM(G16:G18)</f>
        <v>0</v>
      </c>
      <c r="H19" s="41">
        <f>SUM(H16:H18)</f>
        <v>14.262626262626263</v>
      </c>
      <c r="I19" s="40" t="s">
        <v>21</v>
      </c>
      <c r="J19" s="41">
        <f>SUM(J16:J18)</f>
        <v>21.669818715995529</v>
      </c>
    </row>
    <row r="20" spans="1:10" x14ac:dyDescent="0.25">
      <c r="A20" s="50" t="s">
        <v>86</v>
      </c>
      <c r="B20" s="37" t="s">
        <v>10</v>
      </c>
      <c r="C20" s="38">
        <v>8.25</v>
      </c>
      <c r="D20" s="38">
        <v>0.99</v>
      </c>
      <c r="E20" s="38">
        <v>1</v>
      </c>
      <c r="F20" s="38">
        <f>C20/D20</f>
        <v>8.3333333333333339</v>
      </c>
      <c r="G20" s="38">
        <f>(H20^2-F20^2)^0.5</f>
        <v>0</v>
      </c>
      <c r="H20" s="38">
        <f>F20/E20</f>
        <v>8.3333333333333339</v>
      </c>
      <c r="I20" s="38">
        <v>380</v>
      </c>
      <c r="J20" s="38">
        <f>F20*1000/(380*3^0.5*E20)</f>
        <v>12.661190113807585</v>
      </c>
    </row>
    <row r="21" spans="1:10" x14ac:dyDescent="0.25">
      <c r="A21" s="50"/>
      <c r="B21" s="37" t="s">
        <v>87</v>
      </c>
      <c r="C21" s="38">
        <v>3</v>
      </c>
      <c r="D21" s="38">
        <v>0.99</v>
      </c>
      <c r="E21" s="38">
        <v>1</v>
      </c>
      <c r="F21" s="38">
        <f>C21/D21</f>
        <v>3.0303030303030303</v>
      </c>
      <c r="G21" s="38">
        <f>(H21^2-F21^2)^0.5</f>
        <v>0</v>
      </c>
      <c r="H21" s="38">
        <f>F21/E21</f>
        <v>3.0303030303030303</v>
      </c>
      <c r="I21" s="38">
        <v>380</v>
      </c>
      <c r="J21" s="38">
        <f>F21*1000/(380*3^0.5*E21)</f>
        <v>4.6040691322936667</v>
      </c>
    </row>
    <row r="22" spans="1:10" x14ac:dyDescent="0.25">
      <c r="A22" s="50"/>
      <c r="B22" s="37" t="s">
        <v>84</v>
      </c>
      <c r="C22" s="38">
        <v>0.37</v>
      </c>
      <c r="D22" s="38">
        <v>0.99</v>
      </c>
      <c r="E22" s="38">
        <v>1</v>
      </c>
      <c r="F22" s="38">
        <f>C22/D22</f>
        <v>0.37373737373737376</v>
      </c>
      <c r="G22" s="38">
        <f>(H22^2-F22^2)^0.5</f>
        <v>0</v>
      </c>
      <c r="H22" s="38">
        <f>F22/E22</f>
        <v>0.37373737373737376</v>
      </c>
      <c r="I22" s="38">
        <v>380</v>
      </c>
      <c r="J22" s="38">
        <f>F22*1000/(380*3^0.5*E22)</f>
        <v>0.56783519298288554</v>
      </c>
    </row>
    <row r="23" spans="1:10" x14ac:dyDescent="0.25">
      <c r="A23" s="50"/>
      <c r="B23" s="51" t="s">
        <v>17</v>
      </c>
      <c r="C23" s="51"/>
      <c r="D23" s="51"/>
      <c r="E23" s="51"/>
      <c r="F23" s="39">
        <f>SUM(F20:F22)</f>
        <v>11.737373737373737</v>
      </c>
      <c r="G23" s="39">
        <f>SUM(G20:G22)</f>
        <v>0</v>
      </c>
      <c r="H23" s="39">
        <f>SUM(H20:H22)</f>
        <v>11.737373737373737</v>
      </c>
      <c r="I23" s="38" t="s">
        <v>21</v>
      </c>
      <c r="J23" s="39">
        <f>SUM(J20:J22)</f>
        <v>17.833094439084139</v>
      </c>
    </row>
    <row r="24" spans="1:10" x14ac:dyDescent="0.25">
      <c r="A24" s="50" t="s">
        <v>30</v>
      </c>
      <c r="B24" s="37" t="s">
        <v>10</v>
      </c>
      <c r="C24" s="38">
        <v>0</v>
      </c>
      <c r="D24" s="38">
        <v>0.99</v>
      </c>
      <c r="E24" s="38">
        <v>1</v>
      </c>
      <c r="F24" s="38">
        <f>C24/D24</f>
        <v>0</v>
      </c>
      <c r="G24" s="38">
        <f>(H24^2-F24^2)^0.5</f>
        <v>0</v>
      </c>
      <c r="H24" s="38">
        <f>F24/E24</f>
        <v>0</v>
      </c>
      <c r="I24" s="38">
        <v>380</v>
      </c>
      <c r="J24" s="38">
        <f>F24*1000/(380*3^0.5*E24)</f>
        <v>0</v>
      </c>
    </row>
    <row r="25" spans="1:10" x14ac:dyDescent="0.25">
      <c r="A25" s="50"/>
      <c r="B25" s="37" t="s">
        <v>11</v>
      </c>
      <c r="C25" s="38">
        <v>0</v>
      </c>
      <c r="D25" s="38">
        <v>0.99</v>
      </c>
      <c r="E25" s="38">
        <v>1</v>
      </c>
      <c r="F25" s="38">
        <f t="shared" ref="F25:F30" si="0">C25/D25</f>
        <v>0</v>
      </c>
      <c r="G25" s="38">
        <f t="shared" ref="G25:G30" si="1">(H25^2-F25^2)^0.5</f>
        <v>0</v>
      </c>
      <c r="H25" s="38">
        <f t="shared" ref="H25:H30" si="2">F25/E25</f>
        <v>0</v>
      </c>
      <c r="I25" s="38">
        <v>380</v>
      </c>
      <c r="J25" s="38">
        <f t="shared" ref="J25:J30" si="3">F25*1000/(380*3^0.5*E25)</f>
        <v>0</v>
      </c>
    </row>
    <row r="26" spans="1:10" x14ac:dyDescent="0.25">
      <c r="A26" s="50"/>
      <c r="B26" s="37" t="s">
        <v>12</v>
      </c>
      <c r="C26" s="38">
        <v>0</v>
      </c>
      <c r="D26" s="38">
        <v>0.99</v>
      </c>
      <c r="E26" s="38">
        <v>1</v>
      </c>
      <c r="F26" s="38">
        <f t="shared" si="0"/>
        <v>0</v>
      </c>
      <c r="G26" s="38">
        <f t="shared" si="1"/>
        <v>0</v>
      </c>
      <c r="H26" s="38">
        <f t="shared" si="2"/>
        <v>0</v>
      </c>
      <c r="I26" s="38">
        <v>380</v>
      </c>
      <c r="J26" s="38">
        <f t="shared" si="3"/>
        <v>0</v>
      </c>
    </row>
    <row r="27" spans="1:10" x14ac:dyDescent="0.25">
      <c r="A27" s="50"/>
      <c r="B27" s="37" t="s">
        <v>13</v>
      </c>
      <c r="C27" s="38">
        <v>0</v>
      </c>
      <c r="D27" s="38">
        <v>0.99</v>
      </c>
      <c r="E27" s="38">
        <v>1</v>
      </c>
      <c r="F27" s="38">
        <f t="shared" si="0"/>
        <v>0</v>
      </c>
      <c r="G27" s="38">
        <f t="shared" si="1"/>
        <v>0</v>
      </c>
      <c r="H27" s="38">
        <f t="shared" si="2"/>
        <v>0</v>
      </c>
      <c r="I27" s="38">
        <v>380</v>
      </c>
      <c r="J27" s="38">
        <f t="shared" si="3"/>
        <v>0</v>
      </c>
    </row>
    <row r="28" spans="1:10" x14ac:dyDescent="0.25">
      <c r="A28" s="50"/>
      <c r="B28" s="37" t="s">
        <v>32</v>
      </c>
      <c r="C28" s="38">
        <v>0</v>
      </c>
      <c r="D28" s="38">
        <v>0.99</v>
      </c>
      <c r="E28" s="38">
        <v>1</v>
      </c>
      <c r="F28" s="38">
        <f t="shared" si="0"/>
        <v>0</v>
      </c>
      <c r="G28" s="38">
        <f t="shared" si="1"/>
        <v>0</v>
      </c>
      <c r="H28" s="38">
        <f t="shared" si="2"/>
        <v>0</v>
      </c>
      <c r="I28" s="38">
        <v>380</v>
      </c>
      <c r="J28" s="38">
        <f>F28*1000/(380*3^0.5*E28)</f>
        <v>0</v>
      </c>
    </row>
    <row r="29" spans="1:10" x14ac:dyDescent="0.25">
      <c r="A29" s="50"/>
      <c r="B29" s="37" t="s">
        <v>31</v>
      </c>
      <c r="C29" s="38">
        <v>0</v>
      </c>
      <c r="D29" s="38">
        <v>0.88</v>
      </c>
      <c r="E29" s="38">
        <v>0.87</v>
      </c>
      <c r="F29" s="38">
        <f t="shared" si="0"/>
        <v>0</v>
      </c>
      <c r="G29" s="38">
        <f t="shared" si="1"/>
        <v>0</v>
      </c>
      <c r="H29" s="38">
        <f t="shared" si="2"/>
        <v>0</v>
      </c>
      <c r="I29" s="38">
        <v>380</v>
      </c>
      <c r="J29" s="38">
        <f>F29*1000/(380*3^0.5*E29)</f>
        <v>0</v>
      </c>
    </row>
    <row r="30" spans="1:10" x14ac:dyDescent="0.25">
      <c r="A30" s="50"/>
      <c r="B30" s="37" t="s">
        <v>33</v>
      </c>
      <c r="C30" s="38">
        <v>0</v>
      </c>
      <c r="D30" s="38">
        <v>0.78</v>
      </c>
      <c r="E30" s="38">
        <v>0.8</v>
      </c>
      <c r="F30" s="38">
        <f t="shared" si="0"/>
        <v>0</v>
      </c>
      <c r="G30" s="38">
        <f t="shared" si="1"/>
        <v>0</v>
      </c>
      <c r="H30" s="38">
        <f t="shared" si="2"/>
        <v>0</v>
      </c>
      <c r="I30" s="38">
        <v>380</v>
      </c>
      <c r="J30" s="38">
        <f t="shared" si="3"/>
        <v>0</v>
      </c>
    </row>
    <row r="31" spans="1:10" x14ac:dyDescent="0.25">
      <c r="A31" s="50"/>
      <c r="B31" s="51" t="s">
        <v>17</v>
      </c>
      <c r="C31" s="51"/>
      <c r="D31" s="51"/>
      <c r="E31" s="51"/>
      <c r="F31" s="39">
        <f>SUM(F24:F30)</f>
        <v>0</v>
      </c>
      <c r="G31" s="39">
        <f>SUM(G24:G30)</f>
        <v>0</v>
      </c>
      <c r="H31" s="39">
        <f>SUM(H24:H30)</f>
        <v>0</v>
      </c>
      <c r="I31" s="38" t="s">
        <v>21</v>
      </c>
      <c r="J31" s="39">
        <f>SUM(J24:J30)</f>
        <v>0</v>
      </c>
    </row>
    <row r="32" spans="1:10" x14ac:dyDescent="0.25">
      <c r="A32" s="52" t="s">
        <v>35</v>
      </c>
      <c r="B32" s="42" t="s">
        <v>10</v>
      </c>
      <c r="C32" s="40">
        <v>0</v>
      </c>
      <c r="D32" s="40">
        <v>0.99</v>
      </c>
      <c r="E32" s="40">
        <v>1</v>
      </c>
      <c r="F32" s="40">
        <f>C32/D32</f>
        <v>0</v>
      </c>
      <c r="G32" s="40">
        <f>(H32^2-F32^2)^0.5</f>
        <v>0</v>
      </c>
      <c r="H32" s="40">
        <f>F32/E32</f>
        <v>0</v>
      </c>
      <c r="I32" s="40">
        <v>380</v>
      </c>
      <c r="J32" s="40">
        <f>F32*1000/(380*3^0.5*E32)</f>
        <v>0</v>
      </c>
    </row>
    <row r="33" spans="1:10" x14ac:dyDescent="0.25">
      <c r="A33" s="52"/>
      <c r="B33" s="42" t="s">
        <v>11</v>
      </c>
      <c r="C33" s="40">
        <v>0</v>
      </c>
      <c r="D33" s="40">
        <v>0.99</v>
      </c>
      <c r="E33" s="40">
        <v>1</v>
      </c>
      <c r="F33" s="40">
        <f t="shared" ref="F33:F38" si="4">C33/D33</f>
        <v>0</v>
      </c>
      <c r="G33" s="40">
        <f t="shared" ref="G33:G38" si="5">(H33^2-F33^2)^0.5</f>
        <v>0</v>
      </c>
      <c r="H33" s="40">
        <f t="shared" ref="H33:H38" si="6">F33/E33</f>
        <v>0</v>
      </c>
      <c r="I33" s="40">
        <v>380</v>
      </c>
      <c r="J33" s="40">
        <f t="shared" ref="J33:J38" si="7">F33*1000/(380*3^0.5*E33)</f>
        <v>0</v>
      </c>
    </row>
    <row r="34" spans="1:10" x14ac:dyDescent="0.25">
      <c r="A34" s="52"/>
      <c r="B34" s="42" t="s">
        <v>12</v>
      </c>
      <c r="C34" s="40">
        <v>0</v>
      </c>
      <c r="D34" s="40">
        <v>0.99</v>
      </c>
      <c r="E34" s="40">
        <v>1</v>
      </c>
      <c r="F34" s="40">
        <f t="shared" si="4"/>
        <v>0</v>
      </c>
      <c r="G34" s="40">
        <f t="shared" si="5"/>
        <v>0</v>
      </c>
      <c r="H34" s="40">
        <f t="shared" si="6"/>
        <v>0</v>
      </c>
      <c r="I34" s="40">
        <v>380</v>
      </c>
      <c r="J34" s="40">
        <f t="shared" si="7"/>
        <v>0</v>
      </c>
    </row>
    <row r="35" spans="1:10" x14ac:dyDescent="0.25">
      <c r="A35" s="52"/>
      <c r="B35" s="42" t="s">
        <v>13</v>
      </c>
      <c r="C35" s="40">
        <v>0</v>
      </c>
      <c r="D35" s="40">
        <v>0.99</v>
      </c>
      <c r="E35" s="40">
        <v>1</v>
      </c>
      <c r="F35" s="40">
        <f t="shared" si="4"/>
        <v>0</v>
      </c>
      <c r="G35" s="40">
        <f t="shared" si="5"/>
        <v>0</v>
      </c>
      <c r="H35" s="40">
        <f t="shared" si="6"/>
        <v>0</v>
      </c>
      <c r="I35" s="40">
        <v>380</v>
      </c>
      <c r="J35" s="40">
        <f t="shared" si="7"/>
        <v>0</v>
      </c>
    </row>
    <row r="36" spans="1:10" x14ac:dyDescent="0.25">
      <c r="A36" s="52"/>
      <c r="B36" s="42" t="s">
        <v>32</v>
      </c>
      <c r="C36" s="40">
        <v>0</v>
      </c>
      <c r="D36" s="40">
        <v>0.99</v>
      </c>
      <c r="E36" s="40">
        <v>1</v>
      </c>
      <c r="F36" s="40">
        <f t="shared" si="4"/>
        <v>0</v>
      </c>
      <c r="G36" s="40">
        <f t="shared" si="5"/>
        <v>0</v>
      </c>
      <c r="H36" s="40">
        <f t="shared" si="6"/>
        <v>0</v>
      </c>
      <c r="I36" s="40">
        <v>380</v>
      </c>
      <c r="J36" s="40">
        <f t="shared" si="7"/>
        <v>0</v>
      </c>
    </row>
    <row r="37" spans="1:10" x14ac:dyDescent="0.25">
      <c r="A37" s="52"/>
      <c r="B37" s="42" t="s">
        <v>31</v>
      </c>
      <c r="C37" s="40">
        <v>0</v>
      </c>
      <c r="D37" s="40">
        <v>0.89</v>
      </c>
      <c r="E37" s="40">
        <v>0.88</v>
      </c>
      <c r="F37" s="40">
        <f t="shared" si="4"/>
        <v>0</v>
      </c>
      <c r="G37" s="40">
        <f t="shared" si="5"/>
        <v>0</v>
      </c>
      <c r="H37" s="40">
        <f t="shared" si="6"/>
        <v>0</v>
      </c>
      <c r="I37" s="40">
        <v>380</v>
      </c>
      <c r="J37" s="40">
        <f t="shared" si="7"/>
        <v>0</v>
      </c>
    </row>
    <row r="38" spans="1:10" x14ac:dyDescent="0.25">
      <c r="A38" s="52"/>
      <c r="B38" s="42" t="s">
        <v>33</v>
      </c>
      <c r="C38" s="40">
        <v>0</v>
      </c>
      <c r="D38" s="40">
        <v>0.78</v>
      </c>
      <c r="E38" s="40">
        <v>0.8</v>
      </c>
      <c r="F38" s="40">
        <f t="shared" si="4"/>
        <v>0</v>
      </c>
      <c r="G38" s="40">
        <f t="shared" si="5"/>
        <v>0</v>
      </c>
      <c r="H38" s="40">
        <f t="shared" si="6"/>
        <v>0</v>
      </c>
      <c r="I38" s="40">
        <v>380</v>
      </c>
      <c r="J38" s="40">
        <f t="shared" si="7"/>
        <v>0</v>
      </c>
    </row>
    <row r="39" spans="1:10" x14ac:dyDescent="0.25">
      <c r="A39" s="52"/>
      <c r="B39" s="53" t="s">
        <v>17</v>
      </c>
      <c r="C39" s="53"/>
      <c r="D39" s="53"/>
      <c r="E39" s="53"/>
      <c r="F39" s="41">
        <f>SUM(F32:F38)</f>
        <v>0</v>
      </c>
      <c r="G39" s="41">
        <f>SUM(G32:G38)</f>
        <v>0</v>
      </c>
      <c r="H39" s="41">
        <f>SUM(H32:H38)</f>
        <v>0</v>
      </c>
      <c r="I39" s="40" t="s">
        <v>21</v>
      </c>
      <c r="J39" s="41">
        <f>SUM(J32:J38)</f>
        <v>0</v>
      </c>
    </row>
    <row r="41" spans="1:10" s="5" customFormat="1" ht="12" x14ac:dyDescent="0.25">
      <c r="F41" s="31" t="s">
        <v>39</v>
      </c>
      <c r="G41" s="31" t="s">
        <v>40</v>
      </c>
      <c r="H41" s="31" t="s">
        <v>42</v>
      </c>
      <c r="I41" s="4"/>
      <c r="J41" s="4"/>
    </row>
    <row r="42" spans="1:10" s="5" customFormat="1" ht="12" x14ac:dyDescent="0.25">
      <c r="F42" s="31" t="s">
        <v>1</v>
      </c>
      <c r="G42" s="31" t="s">
        <v>41</v>
      </c>
      <c r="H42" s="31" t="s">
        <v>41</v>
      </c>
      <c r="I42" s="4"/>
      <c r="J42" s="4"/>
    </row>
    <row r="43" spans="1:10" x14ac:dyDescent="0.25">
      <c r="C43" s="54" t="s">
        <v>38</v>
      </c>
      <c r="D43" s="57" t="s">
        <v>44</v>
      </c>
      <c r="E43" s="58"/>
      <c r="F43" s="33">
        <f>MAX(F11,F15,F23,F31)</f>
        <v>11.737373737373737</v>
      </c>
      <c r="G43" s="32">
        <f>MAX(J11,J15,J23,J31)</f>
        <v>17.833094439084139</v>
      </c>
      <c r="H43" s="32" t="str">
        <f>"≥"&amp;ROUNDUP(G43,0)+2</f>
        <v>≥20</v>
      </c>
      <c r="I43" s="3"/>
      <c r="J43" s="3"/>
    </row>
    <row r="44" spans="1:10" x14ac:dyDescent="0.25">
      <c r="C44" s="55"/>
      <c r="D44" s="59" t="s">
        <v>43</v>
      </c>
      <c r="E44" s="60"/>
      <c r="F44" s="33">
        <f>MAX(F11,F19,F23,F31)</f>
        <v>14.262626262626263</v>
      </c>
      <c r="G44" s="32">
        <f>MAX(J11,J19,J23,J31)</f>
        <v>21.669818715995529</v>
      </c>
      <c r="H44" s="32" t="str">
        <f>"≥"&amp;ROUNDUP(G44,0)+2</f>
        <v>≥24</v>
      </c>
    </row>
    <row r="45" spans="1:10" x14ac:dyDescent="0.25">
      <c r="C45" s="55"/>
      <c r="D45" s="59" t="s">
        <v>46</v>
      </c>
      <c r="E45" s="60"/>
      <c r="F45" s="33">
        <f>MAX(F11,F15,F23,F39)</f>
        <v>11.737373737373737</v>
      </c>
      <c r="G45" s="32">
        <f>MAX(J11,J15,J23,J39)</f>
        <v>17.833094439084139</v>
      </c>
      <c r="H45" s="32" t="str">
        <f>"≥"&amp;ROUNDUP(G45,0)+2</f>
        <v>≥20</v>
      </c>
    </row>
    <row r="46" spans="1:10" x14ac:dyDescent="0.25">
      <c r="C46" s="56"/>
      <c r="D46" s="59" t="s">
        <v>45</v>
      </c>
      <c r="E46" s="60"/>
      <c r="F46" s="33">
        <f>MAX(F11,F19,F23,F39)</f>
        <v>14.262626262626263</v>
      </c>
      <c r="G46" s="32">
        <f>MAX(J11,J19,J23,J39)</f>
        <v>21.669818715995529</v>
      </c>
      <c r="H46" s="32" t="str">
        <f>"≥"&amp;ROUNDUP(G46,0)+2</f>
        <v>≥24</v>
      </c>
    </row>
    <row r="48" spans="1:10" ht="62.25" customHeight="1" x14ac:dyDescent="0.25">
      <c r="A48" s="48" t="s">
        <v>55</v>
      </c>
      <c r="B48" s="49"/>
      <c r="C48" s="49"/>
      <c r="D48" s="49"/>
      <c r="E48" s="49"/>
      <c r="F48" s="49"/>
      <c r="G48" s="49"/>
      <c r="H48" s="49"/>
      <c r="I48" s="49"/>
      <c r="J48" s="49"/>
    </row>
  </sheetData>
  <mergeCells count="23">
    <mergeCell ref="A10:A11"/>
    <mergeCell ref="B11:E11"/>
    <mergeCell ref="A1:J1"/>
    <mergeCell ref="F2:H2"/>
    <mergeCell ref="B3:J3"/>
    <mergeCell ref="A7:A9"/>
    <mergeCell ref="B7:E8"/>
    <mergeCell ref="A12:A15"/>
    <mergeCell ref="B15:E15"/>
    <mergeCell ref="A16:A19"/>
    <mergeCell ref="B19:E19"/>
    <mergeCell ref="A20:A23"/>
    <mergeCell ref="B23:E23"/>
    <mergeCell ref="A48:J48"/>
    <mergeCell ref="A24:A31"/>
    <mergeCell ref="B31:E31"/>
    <mergeCell ref="A32:A39"/>
    <mergeCell ref="B39:E39"/>
    <mergeCell ref="C43:C46"/>
    <mergeCell ref="D43:E43"/>
    <mergeCell ref="D44:E44"/>
    <mergeCell ref="D45:E45"/>
    <mergeCell ref="D46:E46"/>
  </mergeCells>
  <pageMargins left="0.7" right="0.7" top="0.75" bottom="0.75" header="0.3" footer="0.3"/>
  <ignoredErrors>
    <ignoredError sqref="F11:J39" formula="1"/>
  </ignoredError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AFB0A-56B2-4726-9AE3-D96EBBFC1DBE}">
  <sheetPr codeName="Sayfa4"/>
  <dimension ref="A1:J24"/>
  <sheetViews>
    <sheetView workbookViewId="0">
      <selection activeCell="A33" sqref="A33"/>
    </sheetView>
  </sheetViews>
  <sheetFormatPr defaultRowHeight="15" x14ac:dyDescent="0.25"/>
  <cols>
    <col min="1" max="1" width="25.42578125" customWidth="1"/>
    <col min="2" max="2" width="39.85546875" customWidth="1"/>
    <col min="3" max="3" width="26.5703125" style="36" customWidth="1"/>
    <col min="4" max="6" width="17.85546875" bestFit="1" customWidth="1"/>
  </cols>
  <sheetData>
    <row r="1" spans="1:10" x14ac:dyDescent="0.25">
      <c r="A1" s="67" t="s">
        <v>59</v>
      </c>
      <c r="B1" s="67" t="s">
        <v>60</v>
      </c>
      <c r="C1" s="67" t="s">
        <v>69</v>
      </c>
      <c r="D1" s="67"/>
      <c r="E1" s="67"/>
      <c r="F1" s="67"/>
      <c r="G1" s="67"/>
      <c r="H1" s="67"/>
      <c r="I1" s="67"/>
      <c r="J1" s="67"/>
    </row>
    <row r="2" spans="1:10" s="35" customFormat="1" ht="35.25" customHeight="1" x14ac:dyDescent="0.25">
      <c r="A2" s="67"/>
      <c r="B2" s="67"/>
      <c r="C2" s="44" t="s">
        <v>75</v>
      </c>
      <c r="D2" s="43" t="s">
        <v>76</v>
      </c>
      <c r="E2" s="43" t="s">
        <v>77</v>
      </c>
      <c r="F2" s="43" t="s">
        <v>78</v>
      </c>
      <c r="G2" s="43"/>
      <c r="H2" s="43"/>
      <c r="I2" s="43"/>
      <c r="J2" s="43"/>
    </row>
    <row r="3" spans="1:10" ht="18.75" customHeight="1" x14ac:dyDescent="0.25">
      <c r="A3" s="66" t="s">
        <v>63</v>
      </c>
      <c r="B3" s="45" t="s">
        <v>61</v>
      </c>
      <c r="C3" s="46">
        <v>8.25</v>
      </c>
      <c r="D3" s="45"/>
      <c r="E3" s="45"/>
      <c r="F3" s="45"/>
      <c r="G3" s="45"/>
      <c r="H3" s="45"/>
      <c r="I3" s="45"/>
      <c r="J3" s="45"/>
    </row>
    <row r="4" spans="1:10" ht="18.75" customHeight="1" x14ac:dyDescent="0.25">
      <c r="A4" s="66"/>
      <c r="B4" s="45" t="s">
        <v>62</v>
      </c>
      <c r="C4" s="47">
        <v>0</v>
      </c>
      <c r="D4" s="45"/>
      <c r="E4" s="45"/>
      <c r="F4" s="45"/>
      <c r="G4" s="45"/>
      <c r="H4" s="45"/>
      <c r="I4" s="45"/>
      <c r="J4" s="45"/>
    </row>
    <row r="5" spans="1:10" ht="18.75" customHeight="1" x14ac:dyDescent="0.25">
      <c r="A5" s="66"/>
      <c r="B5" s="45" t="s">
        <v>65</v>
      </c>
      <c r="C5" s="47">
        <v>0</v>
      </c>
      <c r="D5" s="45"/>
      <c r="E5" s="45"/>
      <c r="F5" s="45"/>
      <c r="G5" s="45"/>
      <c r="H5" s="45"/>
      <c r="I5" s="45"/>
      <c r="J5" s="45"/>
    </row>
    <row r="6" spans="1:10" ht="18.75" customHeight="1" x14ac:dyDescent="0.25">
      <c r="A6" s="66"/>
      <c r="B6" s="45" t="s">
        <v>66</v>
      </c>
      <c r="C6" s="47">
        <v>0</v>
      </c>
      <c r="D6" s="45"/>
      <c r="E6" s="45"/>
      <c r="F6" s="45"/>
      <c r="G6" s="45"/>
      <c r="H6" s="45"/>
      <c r="I6" s="45"/>
      <c r="J6" s="45"/>
    </row>
    <row r="7" spans="1:10" ht="18.75" customHeight="1" x14ac:dyDescent="0.25">
      <c r="A7" s="66"/>
      <c r="B7" s="45" t="s">
        <v>67</v>
      </c>
      <c r="C7" s="47">
        <v>0</v>
      </c>
      <c r="D7" s="45"/>
      <c r="E7" s="45"/>
      <c r="F7" s="45"/>
      <c r="G7" s="45"/>
      <c r="H7" s="45"/>
      <c r="I7" s="45"/>
      <c r="J7" s="45"/>
    </row>
    <row r="8" spans="1:10" ht="18.75" customHeight="1" x14ac:dyDescent="0.25">
      <c r="A8" s="66"/>
      <c r="B8" s="45" t="s">
        <v>68</v>
      </c>
      <c r="C8" s="47">
        <v>0</v>
      </c>
      <c r="D8" s="45"/>
      <c r="E8" s="45"/>
      <c r="F8" s="45"/>
      <c r="G8" s="45"/>
      <c r="H8" s="45"/>
      <c r="I8" s="45"/>
      <c r="J8" s="45"/>
    </row>
    <row r="9" spans="1:10" ht="18.75" customHeight="1" x14ac:dyDescent="0.25">
      <c r="A9" s="66" t="s">
        <v>64</v>
      </c>
      <c r="B9" s="45" t="s">
        <v>61</v>
      </c>
      <c r="C9" s="46">
        <v>8.25</v>
      </c>
      <c r="D9" s="45"/>
      <c r="E9" s="45"/>
      <c r="F9" s="45"/>
      <c r="G9" s="45"/>
      <c r="H9" s="45"/>
      <c r="I9" s="45"/>
      <c r="J9" s="45"/>
    </row>
    <row r="10" spans="1:10" ht="18.75" customHeight="1" x14ac:dyDescent="0.25">
      <c r="A10" s="66"/>
      <c r="B10" s="45" t="s">
        <v>62</v>
      </c>
      <c r="C10" s="47">
        <v>0</v>
      </c>
      <c r="D10" s="45"/>
      <c r="E10" s="45"/>
      <c r="F10" s="45"/>
      <c r="G10" s="45"/>
      <c r="H10" s="45"/>
      <c r="I10" s="45"/>
      <c r="J10" s="45"/>
    </row>
    <row r="11" spans="1:10" ht="18.75" customHeight="1" x14ac:dyDescent="0.25">
      <c r="A11" s="66"/>
      <c r="B11" s="45" t="s">
        <v>65</v>
      </c>
      <c r="C11" s="47">
        <v>0</v>
      </c>
      <c r="D11" s="45"/>
      <c r="E11" s="45"/>
      <c r="F11" s="45"/>
      <c r="G11" s="45"/>
      <c r="H11" s="45"/>
      <c r="I11" s="45"/>
      <c r="J11" s="45"/>
    </row>
    <row r="12" spans="1:10" ht="18.75" customHeight="1" x14ac:dyDescent="0.25">
      <c r="A12" s="66"/>
      <c r="B12" s="45" t="s">
        <v>79</v>
      </c>
      <c r="C12" s="46">
        <v>2.2000000000000002</v>
      </c>
      <c r="D12" s="45"/>
      <c r="E12" s="45"/>
      <c r="F12" s="45"/>
      <c r="G12" s="45"/>
      <c r="H12" s="45"/>
      <c r="I12" s="45"/>
      <c r="J12" s="45"/>
    </row>
    <row r="13" spans="1:10" ht="18.75" customHeight="1" x14ac:dyDescent="0.25">
      <c r="A13" s="45"/>
      <c r="B13" s="45" t="s">
        <v>80</v>
      </c>
      <c r="C13" s="46">
        <v>3</v>
      </c>
      <c r="D13" s="45"/>
      <c r="E13" s="45"/>
      <c r="F13" s="45"/>
      <c r="G13" s="45"/>
      <c r="H13" s="45"/>
      <c r="I13" s="45"/>
      <c r="J13" s="45"/>
    </row>
    <row r="14" spans="1:10" ht="18.75" customHeight="1" x14ac:dyDescent="0.25">
      <c r="A14" s="66" t="s">
        <v>29</v>
      </c>
      <c r="B14" s="45" t="s">
        <v>66</v>
      </c>
      <c r="C14" s="47">
        <v>0</v>
      </c>
      <c r="D14" s="45"/>
      <c r="E14" s="45"/>
      <c r="F14" s="45"/>
      <c r="G14" s="45"/>
      <c r="H14" s="45"/>
      <c r="I14" s="45"/>
      <c r="J14" s="45"/>
    </row>
    <row r="15" spans="1:10" ht="18.75" customHeight="1" x14ac:dyDescent="0.25">
      <c r="A15" s="66"/>
      <c r="B15" s="45" t="s">
        <v>67</v>
      </c>
      <c r="C15" s="47">
        <v>0</v>
      </c>
      <c r="D15" s="45"/>
      <c r="E15" s="45"/>
      <c r="F15" s="45"/>
      <c r="G15" s="45"/>
      <c r="H15" s="45"/>
      <c r="I15" s="45"/>
      <c r="J15" s="45"/>
    </row>
    <row r="16" spans="1:10" ht="18.75" customHeight="1" x14ac:dyDescent="0.25">
      <c r="A16" s="66"/>
      <c r="B16" s="45" t="s">
        <v>68</v>
      </c>
      <c r="C16" s="47">
        <v>0</v>
      </c>
      <c r="D16" s="45"/>
      <c r="E16" s="45"/>
      <c r="F16" s="45"/>
      <c r="G16" s="45"/>
      <c r="H16" s="45"/>
      <c r="I16" s="45"/>
      <c r="J16" s="45"/>
    </row>
    <row r="17" spans="1:10" ht="18.75" customHeight="1" x14ac:dyDescent="0.25">
      <c r="A17" s="66"/>
      <c r="B17" s="45" t="s">
        <v>81</v>
      </c>
      <c r="C17" s="47">
        <v>0</v>
      </c>
      <c r="D17" s="45"/>
      <c r="E17" s="45"/>
      <c r="F17" s="45"/>
      <c r="G17" s="45"/>
      <c r="H17" s="45"/>
      <c r="I17" s="45"/>
      <c r="J17" s="45"/>
    </row>
    <row r="18" spans="1:10" ht="18.75" customHeight="1" x14ac:dyDescent="0.25">
      <c r="A18" s="45"/>
      <c r="B18" s="45" t="s">
        <v>82</v>
      </c>
      <c r="C18" s="47">
        <v>0</v>
      </c>
      <c r="D18" s="45"/>
      <c r="E18" s="45"/>
      <c r="F18" s="45"/>
      <c r="G18" s="45"/>
      <c r="H18" s="45"/>
      <c r="I18" s="45"/>
      <c r="J18" s="45"/>
    </row>
    <row r="19" spans="1:10" ht="18.75" customHeight="1" x14ac:dyDescent="0.25">
      <c r="A19" s="66" t="s">
        <v>70</v>
      </c>
      <c r="B19" s="45" t="s">
        <v>71</v>
      </c>
      <c r="C19" s="47">
        <v>0</v>
      </c>
      <c r="D19" s="45"/>
      <c r="E19" s="45"/>
      <c r="F19" s="45"/>
      <c r="G19" s="45"/>
      <c r="H19" s="45"/>
      <c r="I19" s="45"/>
      <c r="J19" s="45"/>
    </row>
    <row r="20" spans="1:10" ht="18.75" customHeight="1" x14ac:dyDescent="0.25">
      <c r="A20" s="66"/>
      <c r="B20" s="45" t="s">
        <v>72</v>
      </c>
      <c r="C20" s="47">
        <v>0</v>
      </c>
      <c r="D20" s="45"/>
      <c r="E20" s="45"/>
      <c r="F20" s="45"/>
      <c r="G20" s="45"/>
      <c r="H20" s="45"/>
      <c r="I20" s="45"/>
      <c r="J20" s="45"/>
    </row>
    <row r="21" spans="1:10" ht="18.75" customHeight="1" x14ac:dyDescent="0.25">
      <c r="A21" s="66"/>
      <c r="B21" s="45" t="s">
        <v>73</v>
      </c>
      <c r="C21" s="47">
        <v>0</v>
      </c>
      <c r="D21" s="45"/>
      <c r="E21" s="45"/>
      <c r="F21" s="45"/>
      <c r="G21" s="45"/>
      <c r="H21" s="45"/>
      <c r="I21" s="45"/>
      <c r="J21" s="45"/>
    </row>
    <row r="22" spans="1:10" ht="18.75" customHeight="1" x14ac:dyDescent="0.25">
      <c r="A22" s="66"/>
      <c r="B22" s="45" t="s">
        <v>74</v>
      </c>
      <c r="C22" s="47">
        <v>0</v>
      </c>
      <c r="D22" s="45"/>
      <c r="E22" s="45"/>
      <c r="F22" s="45"/>
      <c r="G22" s="45"/>
      <c r="H22" s="45"/>
      <c r="I22" s="45"/>
      <c r="J22" s="45"/>
    </row>
    <row r="23" spans="1:10" x14ac:dyDescent="0.25">
      <c r="A23" s="45" t="s">
        <v>83</v>
      </c>
      <c r="B23" s="45" t="s">
        <v>84</v>
      </c>
      <c r="C23" s="46">
        <v>0.55000000000000004</v>
      </c>
      <c r="D23" s="45"/>
      <c r="E23" s="45"/>
      <c r="F23" s="45"/>
      <c r="G23" s="45"/>
      <c r="H23" s="45"/>
      <c r="I23" s="45"/>
      <c r="J23" s="45"/>
    </row>
    <row r="24" spans="1:10" x14ac:dyDescent="0.25">
      <c r="A24" s="45" t="s">
        <v>85</v>
      </c>
      <c r="B24" s="45" t="s">
        <v>31</v>
      </c>
      <c r="C24" s="46">
        <v>0.37</v>
      </c>
      <c r="D24" s="45"/>
      <c r="E24" s="45"/>
      <c r="F24" s="45"/>
      <c r="G24" s="45"/>
      <c r="H24" s="45"/>
      <c r="I24" s="45"/>
      <c r="J24" s="45"/>
    </row>
  </sheetData>
  <mergeCells count="7">
    <mergeCell ref="A3:A8"/>
    <mergeCell ref="A9:A12"/>
    <mergeCell ref="A14:A17"/>
    <mergeCell ref="A19:A22"/>
    <mergeCell ref="C1:J1"/>
    <mergeCell ref="A1:A2"/>
    <mergeCell ref="B1:B2"/>
  </mergeCells>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54860-70B2-4874-8B27-EA5514CC94F8}">
  <sheetPr codeName="Sayfa5"/>
  <dimension ref="A1:J43"/>
  <sheetViews>
    <sheetView showGridLines="0" topLeftCell="A5" zoomScaleNormal="100" workbookViewId="0">
      <selection activeCell="D19" sqref="D19"/>
    </sheetView>
  </sheetViews>
  <sheetFormatPr defaultRowHeight="13.5" x14ac:dyDescent="0.25"/>
  <cols>
    <col min="1" max="1" width="12" style="1" bestFit="1" customWidth="1"/>
    <col min="2" max="2" width="20.85546875" style="1" bestFit="1" customWidth="1"/>
    <col min="3" max="3" width="11.5703125" style="2" bestFit="1" customWidth="1"/>
    <col min="4" max="4" width="19" style="2" bestFit="1" customWidth="1"/>
    <col min="5" max="5" width="16" style="2" bestFit="1" customWidth="1"/>
    <col min="6" max="7" width="14.7109375" style="2" customWidth="1"/>
    <col min="8" max="8" width="16" style="2" bestFit="1" customWidth="1"/>
    <col min="9" max="10" width="14.7109375" style="2" customWidth="1"/>
    <col min="11" max="16384" width="9.140625" style="1"/>
  </cols>
  <sheetData>
    <row r="1" spans="1:10" ht="49.5" customHeight="1" x14ac:dyDescent="0.25">
      <c r="A1" s="61"/>
      <c r="B1" s="61"/>
      <c r="C1" s="61"/>
      <c r="D1" s="61"/>
      <c r="E1" s="61"/>
      <c r="F1" s="61"/>
      <c r="G1" s="61"/>
      <c r="H1" s="61"/>
      <c r="I1" s="61"/>
      <c r="J1" s="61"/>
    </row>
    <row r="2" spans="1:10" x14ac:dyDescent="0.25">
      <c r="A2" s="1" t="s">
        <v>47</v>
      </c>
      <c r="B2" s="1" t="s">
        <v>57</v>
      </c>
      <c r="C2" s="6" t="s">
        <v>48</v>
      </c>
      <c r="D2" s="7">
        <v>46232</v>
      </c>
      <c r="E2" s="6" t="s">
        <v>49</v>
      </c>
      <c r="F2" s="62" t="s">
        <v>51</v>
      </c>
      <c r="G2" s="62"/>
      <c r="H2" s="62"/>
      <c r="I2" s="6" t="s">
        <v>52</v>
      </c>
      <c r="J2" s="8" t="s">
        <v>53</v>
      </c>
    </row>
    <row r="3" spans="1:10" ht="196.5" customHeight="1" x14ac:dyDescent="0.25">
      <c r="A3" s="1" t="s">
        <v>50</v>
      </c>
      <c r="B3" s="48" t="s">
        <v>56</v>
      </c>
      <c r="C3" s="48"/>
      <c r="D3" s="48"/>
      <c r="E3" s="48"/>
      <c r="F3" s="48"/>
      <c r="G3" s="48"/>
      <c r="H3" s="48"/>
      <c r="I3" s="48"/>
      <c r="J3" s="48"/>
    </row>
    <row r="5" spans="1:10" ht="102.75" customHeight="1" x14ac:dyDescent="0.25"/>
    <row r="6" spans="1:10" ht="35.25" customHeight="1" x14ac:dyDescent="0.25"/>
    <row r="7" spans="1:10" x14ac:dyDescent="0.25">
      <c r="A7" s="63" t="s">
        <v>0</v>
      </c>
      <c r="B7" s="63" t="s">
        <v>37</v>
      </c>
      <c r="C7" s="63"/>
      <c r="D7" s="63"/>
      <c r="E7" s="63"/>
      <c r="F7" s="10" t="s">
        <v>14</v>
      </c>
      <c r="G7" s="10" t="s">
        <v>15</v>
      </c>
      <c r="H7" s="10" t="s">
        <v>16</v>
      </c>
      <c r="I7" s="10" t="s">
        <v>19</v>
      </c>
      <c r="J7" s="10" t="s">
        <v>18</v>
      </c>
    </row>
    <row r="8" spans="1:10" x14ac:dyDescent="0.25">
      <c r="A8" s="63"/>
      <c r="B8" s="63"/>
      <c r="C8" s="63"/>
      <c r="D8" s="63"/>
      <c r="E8" s="63"/>
      <c r="F8" s="11" t="s">
        <v>23</v>
      </c>
      <c r="G8" s="11" t="s">
        <v>24</v>
      </c>
      <c r="H8" s="11" t="s">
        <v>25</v>
      </c>
      <c r="I8" s="11" t="s">
        <v>22</v>
      </c>
      <c r="J8" s="11" t="s">
        <v>26</v>
      </c>
    </row>
    <row r="9" spans="1:10" ht="14.25" thickBot="1" x14ac:dyDescent="0.3">
      <c r="A9" s="64"/>
      <c r="B9" s="14" t="s">
        <v>5</v>
      </c>
      <c r="C9" s="15" t="s">
        <v>7</v>
      </c>
      <c r="D9" s="15" t="s">
        <v>8</v>
      </c>
      <c r="E9" s="15" t="s">
        <v>6</v>
      </c>
      <c r="F9" s="16" t="s">
        <v>1</v>
      </c>
      <c r="G9" s="16" t="s">
        <v>2</v>
      </c>
      <c r="H9" s="16" t="s">
        <v>3</v>
      </c>
      <c r="I9" s="16" t="s">
        <v>20</v>
      </c>
      <c r="J9" s="16" t="s">
        <v>4</v>
      </c>
    </row>
    <row r="10" spans="1:10" x14ac:dyDescent="0.25">
      <c r="A10" s="76" t="s">
        <v>9</v>
      </c>
      <c r="B10" s="17" t="s">
        <v>10</v>
      </c>
      <c r="C10" s="18">
        <v>8.25</v>
      </c>
      <c r="D10" s="18">
        <v>0.99</v>
      </c>
      <c r="E10" s="18">
        <v>1</v>
      </c>
      <c r="F10" s="18">
        <f>C10/D10</f>
        <v>8.3333333333333339</v>
      </c>
      <c r="G10" s="18">
        <f>(H10^2-F10^2)^0.5</f>
        <v>0</v>
      </c>
      <c r="H10" s="18">
        <f>F10/E10</f>
        <v>8.3333333333333339</v>
      </c>
      <c r="I10" s="18">
        <v>380</v>
      </c>
      <c r="J10" s="19">
        <f>F10*1000/(380*3^0.5*E10)</f>
        <v>12.661190113807585</v>
      </c>
    </row>
    <row r="11" spans="1:10" x14ac:dyDescent="0.25">
      <c r="A11" s="77"/>
      <c r="B11" s="9" t="s">
        <v>11</v>
      </c>
      <c r="C11" s="10">
        <v>8.25</v>
      </c>
      <c r="D11" s="10">
        <v>0.99</v>
      </c>
      <c r="E11" s="10">
        <v>1</v>
      </c>
      <c r="F11" s="10">
        <f>C11/D11</f>
        <v>8.3333333333333339</v>
      </c>
      <c r="G11" s="10">
        <f>(H11^2-F11^2)^0.5</f>
        <v>0</v>
      </c>
      <c r="H11" s="10">
        <f>F11/E11</f>
        <v>8.3333333333333339</v>
      </c>
      <c r="I11" s="10">
        <v>380</v>
      </c>
      <c r="J11" s="20">
        <f>F11*1000/(380*3^0.5*E11)</f>
        <v>12.661190113807585</v>
      </c>
    </row>
    <row r="12" spans="1:10" x14ac:dyDescent="0.25">
      <c r="A12" s="77"/>
      <c r="B12" s="9" t="s">
        <v>12</v>
      </c>
      <c r="C12" s="10">
        <v>8.25</v>
      </c>
      <c r="D12" s="10">
        <v>0.99</v>
      </c>
      <c r="E12" s="10">
        <v>1</v>
      </c>
      <c r="F12" s="10">
        <f>C12/D12</f>
        <v>8.3333333333333339</v>
      </c>
      <c r="G12" s="10">
        <f>(H12^2-F12^2)^0.5</f>
        <v>0</v>
      </c>
      <c r="H12" s="10">
        <f>F12/E12</f>
        <v>8.3333333333333339</v>
      </c>
      <c r="I12" s="10">
        <v>380</v>
      </c>
      <c r="J12" s="20">
        <f>F12*1000/(380*3^0.5*E12)</f>
        <v>12.661190113807585</v>
      </c>
    </row>
    <row r="13" spans="1:10" x14ac:dyDescent="0.25">
      <c r="A13" s="77"/>
      <c r="B13" s="9" t="s">
        <v>13</v>
      </c>
      <c r="C13" s="10">
        <v>8.25</v>
      </c>
      <c r="D13" s="10">
        <v>0.99</v>
      </c>
      <c r="E13" s="10">
        <v>1</v>
      </c>
      <c r="F13" s="10">
        <f>C13/D13</f>
        <v>8.3333333333333339</v>
      </c>
      <c r="G13" s="10">
        <f>(H13^2-F13^2)^0.5</f>
        <v>0</v>
      </c>
      <c r="H13" s="10">
        <f>F13/E13</f>
        <v>8.3333333333333339</v>
      </c>
      <c r="I13" s="10">
        <v>380</v>
      </c>
      <c r="J13" s="20">
        <f>F13*1000/(380*3^0.5*E13)</f>
        <v>12.661190113807585</v>
      </c>
    </row>
    <row r="14" spans="1:10" ht="14.25" thickBot="1" x14ac:dyDescent="0.3">
      <c r="A14" s="78"/>
      <c r="B14" s="70" t="s">
        <v>17</v>
      </c>
      <c r="C14" s="70"/>
      <c r="D14" s="70"/>
      <c r="E14" s="70"/>
      <c r="F14" s="21">
        <f>SUM(F10:F13)</f>
        <v>33.333333333333336</v>
      </c>
      <c r="G14" s="22">
        <f>SUM(G10:G13)</f>
        <v>0</v>
      </c>
      <c r="H14" s="22">
        <f>SUM(H10:H13)</f>
        <v>33.333333333333336</v>
      </c>
      <c r="I14" s="22" t="s">
        <v>21</v>
      </c>
      <c r="J14" s="23">
        <f>SUM(J10:J13)</f>
        <v>50.64476045523034</v>
      </c>
    </row>
    <row r="15" spans="1:10" x14ac:dyDescent="0.25">
      <c r="A15" s="74" t="s">
        <v>28</v>
      </c>
      <c r="B15" s="17" t="s">
        <v>10</v>
      </c>
      <c r="C15" s="18">
        <v>8.25</v>
      </c>
      <c r="D15" s="18">
        <v>0.99</v>
      </c>
      <c r="E15" s="18">
        <v>1</v>
      </c>
      <c r="F15" s="18">
        <f>C15/D15</f>
        <v>8.3333333333333339</v>
      </c>
      <c r="G15" s="18">
        <f>(H15^2-F15^2)^0.5</f>
        <v>0</v>
      </c>
      <c r="H15" s="18">
        <f>F15/E15</f>
        <v>8.3333333333333339</v>
      </c>
      <c r="I15" s="18">
        <v>380</v>
      </c>
      <c r="J15" s="19">
        <f>F15*1000/(380*3^0.5*E15)</f>
        <v>12.661190113807585</v>
      </c>
    </row>
    <row r="16" spans="1:10" x14ac:dyDescent="0.25">
      <c r="A16" s="68"/>
      <c r="B16" s="9" t="s">
        <v>11</v>
      </c>
      <c r="C16" s="10">
        <v>8.25</v>
      </c>
      <c r="D16" s="10">
        <v>0.99</v>
      </c>
      <c r="E16" s="10">
        <v>1</v>
      </c>
      <c r="F16" s="10">
        <f>C16/D16</f>
        <v>8.3333333333333339</v>
      </c>
      <c r="G16" s="10">
        <f>(H16^2-F16^2)^0.5</f>
        <v>0</v>
      </c>
      <c r="H16" s="10">
        <f>F16/E16</f>
        <v>8.3333333333333339</v>
      </c>
      <c r="I16" s="10">
        <v>380</v>
      </c>
      <c r="J16" s="20">
        <f>F16*1000/(380*3^0.5*E16)</f>
        <v>12.661190113807585</v>
      </c>
    </row>
    <row r="17" spans="1:10" x14ac:dyDescent="0.25">
      <c r="A17" s="68"/>
      <c r="B17" s="9" t="s">
        <v>27</v>
      </c>
      <c r="C17" s="10">
        <v>2.2000000000000002</v>
      </c>
      <c r="D17" s="10">
        <v>0.86</v>
      </c>
      <c r="E17" s="10">
        <v>0.85</v>
      </c>
      <c r="F17" s="10">
        <f>C17/D17</f>
        <v>2.558139534883721</v>
      </c>
      <c r="G17" s="10">
        <f>(H17^2-F17^2)^0.5</f>
        <v>1.5853924935893315</v>
      </c>
      <c r="H17" s="10">
        <f>F17/E17</f>
        <v>3.0095759233926129</v>
      </c>
      <c r="I17" s="10">
        <v>380</v>
      </c>
      <c r="J17" s="20">
        <f>F17*1000/(380*3^0.5*E17)</f>
        <v>4.5725775513614257</v>
      </c>
    </row>
    <row r="18" spans="1:10" ht="14.25" thickBot="1" x14ac:dyDescent="0.3">
      <c r="A18" s="69"/>
      <c r="B18" s="70" t="s">
        <v>17</v>
      </c>
      <c r="C18" s="70"/>
      <c r="D18" s="70"/>
      <c r="E18" s="70"/>
      <c r="F18" s="21">
        <f>SUM(F15:F17)</f>
        <v>19.22480620155039</v>
      </c>
      <c r="G18" s="21">
        <f>SUM(G15:G17)</f>
        <v>1.5853924935893315</v>
      </c>
      <c r="H18" s="21">
        <f>SUM(H15:H17)</f>
        <v>19.676242590059282</v>
      </c>
      <c r="I18" s="22" t="s">
        <v>21</v>
      </c>
      <c r="J18" s="23">
        <f>SUM(J15:J17)</f>
        <v>29.894957778976597</v>
      </c>
    </row>
    <row r="19" spans="1:10" x14ac:dyDescent="0.25">
      <c r="A19" s="75" t="s">
        <v>36</v>
      </c>
      <c r="B19" s="24" t="s">
        <v>10</v>
      </c>
      <c r="C19" s="25">
        <v>8.25</v>
      </c>
      <c r="D19" s="25">
        <v>0.99</v>
      </c>
      <c r="E19" s="25">
        <v>1</v>
      </c>
      <c r="F19" s="25">
        <f>C19/D19</f>
        <v>8.3333333333333339</v>
      </c>
      <c r="G19" s="25">
        <f>(H19^2-F19^2)^0.5</f>
        <v>0</v>
      </c>
      <c r="H19" s="25">
        <f>F19/E19</f>
        <v>8.3333333333333339</v>
      </c>
      <c r="I19" s="25">
        <v>380</v>
      </c>
      <c r="J19" s="26">
        <f>F19*1000/(380*3^0.5*E19)</f>
        <v>12.661190113807585</v>
      </c>
    </row>
    <row r="20" spans="1:10" x14ac:dyDescent="0.25">
      <c r="A20" s="71"/>
      <c r="B20" s="12" t="s">
        <v>11</v>
      </c>
      <c r="C20" s="13">
        <v>8.25</v>
      </c>
      <c r="D20" s="13">
        <v>0.99</v>
      </c>
      <c r="E20" s="13">
        <v>1</v>
      </c>
      <c r="F20" s="13">
        <f>C20/D20</f>
        <v>8.3333333333333339</v>
      </c>
      <c r="G20" s="13">
        <f>(H20^2-F20^2)^0.5</f>
        <v>0</v>
      </c>
      <c r="H20" s="13">
        <f>F20/E20</f>
        <v>8.3333333333333339</v>
      </c>
      <c r="I20" s="13">
        <v>380</v>
      </c>
      <c r="J20" s="27">
        <f>F20*1000/(380*3^0.5*E20)</f>
        <v>12.661190113807585</v>
      </c>
    </row>
    <row r="21" spans="1:10" x14ac:dyDescent="0.25">
      <c r="A21" s="71"/>
      <c r="B21" s="12" t="s">
        <v>27</v>
      </c>
      <c r="C21" s="13">
        <v>7.5</v>
      </c>
      <c r="D21" s="13">
        <v>0.92</v>
      </c>
      <c r="E21" s="13">
        <v>0.89</v>
      </c>
      <c r="F21" s="13">
        <f>C21/D21</f>
        <v>8.1521739130434785</v>
      </c>
      <c r="G21" s="13">
        <f>(H21^2-F21^2)^0.5</f>
        <v>4.1764825776177306</v>
      </c>
      <c r="H21" s="13">
        <f>F21/E21</f>
        <v>9.1597459697117731</v>
      </c>
      <c r="I21" s="13">
        <v>380</v>
      </c>
      <c r="J21" s="27">
        <f>F21*1000/(380*3^0.5*E21)</f>
        <v>13.91679421400443</v>
      </c>
    </row>
    <row r="22" spans="1:10" ht="14.25" thickBot="1" x14ac:dyDescent="0.3">
      <c r="A22" s="72"/>
      <c r="B22" s="73" t="s">
        <v>17</v>
      </c>
      <c r="C22" s="73"/>
      <c r="D22" s="73"/>
      <c r="E22" s="73"/>
      <c r="F22" s="28">
        <f>SUM(F19:F21)</f>
        <v>24.818840579710148</v>
      </c>
      <c r="G22" s="28">
        <f>SUM(G19:G21)</f>
        <v>4.1764825776177306</v>
      </c>
      <c r="H22" s="28">
        <f>SUM(H19:H21)</f>
        <v>25.826412636378443</v>
      </c>
      <c r="I22" s="29" t="s">
        <v>21</v>
      </c>
      <c r="J22" s="30">
        <f>SUM(J19:J21)</f>
        <v>39.239174441619596</v>
      </c>
    </row>
    <row r="23" spans="1:10" x14ac:dyDescent="0.25">
      <c r="A23" s="68" t="s">
        <v>29</v>
      </c>
      <c r="B23" s="9" t="s">
        <v>12</v>
      </c>
      <c r="C23" s="10">
        <v>8.25</v>
      </c>
      <c r="D23" s="10">
        <v>0.99</v>
      </c>
      <c r="E23" s="10">
        <v>1</v>
      </c>
      <c r="F23" s="10">
        <f>C23/D23</f>
        <v>8.3333333333333339</v>
      </c>
      <c r="G23" s="10">
        <f>(H23^2-F23^2)^0.5</f>
        <v>0</v>
      </c>
      <c r="H23" s="10">
        <f>F23/E23</f>
        <v>8.3333333333333339</v>
      </c>
      <c r="I23" s="10">
        <v>380</v>
      </c>
      <c r="J23" s="20">
        <f>F23*1000/(380*3^0.5*E23)</f>
        <v>12.661190113807585</v>
      </c>
    </row>
    <row r="24" spans="1:10" x14ac:dyDescent="0.25">
      <c r="A24" s="68"/>
      <c r="B24" s="9" t="s">
        <v>13</v>
      </c>
      <c r="C24" s="10">
        <v>8.25</v>
      </c>
      <c r="D24" s="10">
        <v>0.99</v>
      </c>
      <c r="E24" s="10">
        <v>1</v>
      </c>
      <c r="F24" s="10">
        <f>C24/D24</f>
        <v>8.3333333333333339</v>
      </c>
      <c r="G24" s="10">
        <f>(H24^2-F24^2)^0.5</f>
        <v>0</v>
      </c>
      <c r="H24" s="10">
        <f>F24/E24</f>
        <v>8.3333333333333339</v>
      </c>
      <c r="I24" s="10">
        <v>380</v>
      </c>
      <c r="J24" s="20">
        <f>F24*1000/(380*3^0.5*E24)</f>
        <v>12.661190113807585</v>
      </c>
    </row>
    <row r="25" spans="1:10" x14ac:dyDescent="0.25">
      <c r="A25" s="68"/>
      <c r="B25" s="9" t="s">
        <v>58</v>
      </c>
      <c r="C25" s="10">
        <v>2.2000000000000002</v>
      </c>
      <c r="D25" s="10">
        <v>0.86</v>
      </c>
      <c r="E25" s="10">
        <v>0.85</v>
      </c>
      <c r="F25" s="10">
        <f>C25/D25</f>
        <v>2.558139534883721</v>
      </c>
      <c r="G25" s="10">
        <f>(H25^2-F25^2)^0.5</f>
        <v>1.5853924935893315</v>
      </c>
      <c r="H25" s="10">
        <f>F25/E25</f>
        <v>3.0095759233926129</v>
      </c>
      <c r="I25" s="10">
        <v>380</v>
      </c>
      <c r="J25" s="20">
        <f>F25*1000/(380*3^0.5*E25)</f>
        <v>4.5725775513614257</v>
      </c>
    </row>
    <row r="26" spans="1:10" ht="14.25" thickBot="1" x14ac:dyDescent="0.3">
      <c r="A26" s="69"/>
      <c r="B26" s="70" t="s">
        <v>17</v>
      </c>
      <c r="C26" s="70"/>
      <c r="D26" s="70"/>
      <c r="E26" s="70"/>
      <c r="F26" s="21">
        <f>SUM(F23:F25)</f>
        <v>19.22480620155039</v>
      </c>
      <c r="G26" s="21">
        <f>SUM(G23:G25)</f>
        <v>1.5853924935893315</v>
      </c>
      <c r="H26" s="21">
        <f>SUM(H23:H25)</f>
        <v>19.676242590059282</v>
      </c>
      <c r="I26" s="22" t="s">
        <v>21</v>
      </c>
      <c r="J26" s="23">
        <f>SUM(J23:J25)</f>
        <v>29.894957778976597</v>
      </c>
    </row>
    <row r="27" spans="1:10" x14ac:dyDescent="0.25">
      <c r="A27" s="68" t="s">
        <v>30</v>
      </c>
      <c r="B27" s="9" t="s">
        <v>32</v>
      </c>
      <c r="C27" s="10">
        <v>6.6</v>
      </c>
      <c r="D27" s="10">
        <v>0.99</v>
      </c>
      <c r="E27" s="10">
        <v>1</v>
      </c>
      <c r="F27" s="10">
        <f>C27/D27</f>
        <v>6.6666666666666661</v>
      </c>
      <c r="G27" s="10">
        <f>(H27^2-F27^2)^0.5</f>
        <v>0</v>
      </c>
      <c r="H27" s="10">
        <f>F27/E27</f>
        <v>6.6666666666666661</v>
      </c>
      <c r="I27" s="10">
        <v>380</v>
      </c>
      <c r="J27" s="20">
        <f>F27*1000/(380*3^0.5*E27)</f>
        <v>10.128952091046067</v>
      </c>
    </row>
    <row r="28" spans="1:10" x14ac:dyDescent="0.25">
      <c r="A28" s="68"/>
      <c r="B28" s="9" t="s">
        <v>31</v>
      </c>
      <c r="C28" s="10">
        <v>4</v>
      </c>
      <c r="D28" s="10">
        <v>0.88</v>
      </c>
      <c r="E28" s="10">
        <v>0.87</v>
      </c>
      <c r="F28" s="10">
        <f>C28/D28</f>
        <v>4.5454545454545459</v>
      </c>
      <c r="G28" s="10">
        <f>(H28^2-F28^2)^0.5</f>
        <v>2.5760278026376282</v>
      </c>
      <c r="H28" s="10">
        <f>F28/E28</f>
        <v>5.2246603970741905</v>
      </c>
      <c r="I28" s="10">
        <v>380</v>
      </c>
      <c r="J28" s="20">
        <f>F28*1000/(380*3^0.5*E28)</f>
        <v>7.9380502280925302</v>
      </c>
    </row>
    <row r="29" spans="1:10" x14ac:dyDescent="0.25">
      <c r="A29" s="68"/>
      <c r="B29" s="9" t="s">
        <v>33</v>
      </c>
      <c r="C29" s="10">
        <v>0.38</v>
      </c>
      <c r="D29" s="10">
        <v>0.78</v>
      </c>
      <c r="E29" s="10">
        <v>0.8</v>
      </c>
      <c r="F29" s="10">
        <f>C29/D29</f>
        <v>0.48717948717948717</v>
      </c>
      <c r="G29" s="10">
        <f>(H29^2-F29^2)^0.5</f>
        <v>0.36538461538461531</v>
      </c>
      <c r="H29" s="10">
        <f>F29/E29</f>
        <v>0.60897435897435892</v>
      </c>
      <c r="I29" s="10">
        <v>380</v>
      </c>
      <c r="J29" s="20">
        <f>F29*1000/(380*3^0.5*E29)</f>
        <v>0.92524081600901564</v>
      </c>
    </row>
    <row r="30" spans="1:10" ht="14.25" thickBot="1" x14ac:dyDescent="0.3">
      <c r="A30" s="69"/>
      <c r="B30" s="70" t="s">
        <v>17</v>
      </c>
      <c r="C30" s="70"/>
      <c r="D30" s="70"/>
      <c r="E30" s="70"/>
      <c r="F30" s="21">
        <f>SUM(F27:F29)</f>
        <v>11.699300699300698</v>
      </c>
      <c r="G30" s="21">
        <f>SUM(G27:G29)</f>
        <v>2.9414124180222436</v>
      </c>
      <c r="H30" s="21">
        <f>SUM(H27:H29)</f>
        <v>12.500301422715216</v>
      </c>
      <c r="I30" s="22" t="s">
        <v>21</v>
      </c>
      <c r="J30" s="23">
        <f>SUM(J27:J29)</f>
        <v>18.992243135147611</v>
      </c>
    </row>
    <row r="31" spans="1:10" x14ac:dyDescent="0.25">
      <c r="A31" s="71" t="s">
        <v>34</v>
      </c>
      <c r="B31" s="12" t="s">
        <v>32</v>
      </c>
      <c r="C31" s="13">
        <v>16</v>
      </c>
      <c r="D31" s="13">
        <v>0.99</v>
      </c>
      <c r="E31" s="13">
        <v>1</v>
      </c>
      <c r="F31" s="13">
        <f>C31/D31</f>
        <v>16.161616161616163</v>
      </c>
      <c r="G31" s="13">
        <f>(H31^2-F31^2)^0.5</f>
        <v>0</v>
      </c>
      <c r="H31" s="13">
        <f>F31/E31</f>
        <v>16.161616161616163</v>
      </c>
      <c r="I31" s="13">
        <v>380</v>
      </c>
      <c r="J31" s="27">
        <f>F31*1000/(380*3^0.5*E31)</f>
        <v>24.55503537223289</v>
      </c>
    </row>
    <row r="32" spans="1:10" x14ac:dyDescent="0.25">
      <c r="A32" s="71"/>
      <c r="B32" s="12" t="s">
        <v>31</v>
      </c>
      <c r="C32" s="13">
        <v>5.5</v>
      </c>
      <c r="D32" s="13">
        <v>0.89</v>
      </c>
      <c r="E32" s="13">
        <v>0.88</v>
      </c>
      <c r="F32" s="13">
        <f>C32/D32</f>
        <v>6.179775280898876</v>
      </c>
      <c r="G32" s="13">
        <f>(H32^2-F32^2)^0.5</f>
        <v>3.3354893502915499</v>
      </c>
      <c r="H32" s="13">
        <f>F32/E32</f>
        <v>7.0224719101123592</v>
      </c>
      <c r="I32" s="13">
        <v>380</v>
      </c>
      <c r="J32" s="27">
        <f>F32*1000/(380*3^0.5*E32)</f>
        <v>10.669542230736727</v>
      </c>
    </row>
    <row r="33" spans="1:10" x14ac:dyDescent="0.25">
      <c r="A33" s="71"/>
      <c r="B33" s="12" t="s">
        <v>33</v>
      </c>
      <c r="C33" s="13">
        <v>0.38</v>
      </c>
      <c r="D33" s="13">
        <v>0.78</v>
      </c>
      <c r="E33" s="13">
        <v>0.8</v>
      </c>
      <c r="F33" s="13">
        <f>C33/D33</f>
        <v>0.48717948717948717</v>
      </c>
      <c r="G33" s="13">
        <f>(H33^2-F33^2)^0.5</f>
        <v>0.36538461538461531</v>
      </c>
      <c r="H33" s="13">
        <f>F33/E33</f>
        <v>0.60897435897435892</v>
      </c>
      <c r="I33" s="13">
        <v>380</v>
      </c>
      <c r="J33" s="27">
        <f>F33*1000/(380*3^0.5*E33)</f>
        <v>0.92524081600901564</v>
      </c>
    </row>
    <row r="34" spans="1:10" ht="14.25" thickBot="1" x14ac:dyDescent="0.3">
      <c r="A34" s="72"/>
      <c r="B34" s="73" t="s">
        <v>17</v>
      </c>
      <c r="C34" s="73"/>
      <c r="D34" s="73"/>
      <c r="E34" s="73"/>
      <c r="F34" s="28">
        <f>SUM(F31:F33)</f>
        <v>22.828570929694525</v>
      </c>
      <c r="G34" s="28">
        <f>SUM(G31:G33)</f>
        <v>3.7008739656761653</v>
      </c>
      <c r="H34" s="28">
        <f>SUM(H31:H33)</f>
        <v>23.793062430702879</v>
      </c>
      <c r="I34" s="29" t="s">
        <v>21</v>
      </c>
      <c r="J34" s="30">
        <f>SUM(J31:J33)</f>
        <v>36.149818418978633</v>
      </c>
    </row>
    <row r="36" spans="1:10" s="5" customFormat="1" ht="12" x14ac:dyDescent="0.25">
      <c r="F36" s="31" t="s">
        <v>39</v>
      </c>
      <c r="G36" s="31" t="s">
        <v>40</v>
      </c>
      <c r="H36" s="31" t="s">
        <v>42</v>
      </c>
      <c r="I36" s="4"/>
      <c r="J36" s="4"/>
    </row>
    <row r="37" spans="1:10" s="5" customFormat="1" ht="12" x14ac:dyDescent="0.25">
      <c r="F37" s="31" t="s">
        <v>1</v>
      </c>
      <c r="G37" s="31" t="s">
        <v>41</v>
      </c>
      <c r="H37" s="31" t="s">
        <v>41</v>
      </c>
      <c r="I37" s="4"/>
      <c r="J37" s="4"/>
    </row>
    <row r="38" spans="1:10" x14ac:dyDescent="0.25">
      <c r="C38" s="54" t="s">
        <v>38</v>
      </c>
      <c r="D38" s="57" t="s">
        <v>44</v>
      </c>
      <c r="E38" s="58"/>
      <c r="F38" s="33">
        <f>MAX(F14,F18,F26,F30)</f>
        <v>33.333333333333336</v>
      </c>
      <c r="G38" s="32">
        <f>MAX(J14,J18,J26,J30)</f>
        <v>50.64476045523034</v>
      </c>
      <c r="H38" s="32" t="str">
        <f>"≥"&amp;ROUNDUP(G38,0)+2</f>
        <v>≥53</v>
      </c>
      <c r="I38" s="3"/>
      <c r="J38" s="3"/>
    </row>
    <row r="39" spans="1:10" x14ac:dyDescent="0.25">
      <c r="C39" s="55"/>
      <c r="D39" s="59" t="s">
        <v>43</v>
      </c>
      <c r="E39" s="60"/>
      <c r="F39" s="33">
        <f>MAX(F14,F22,F26,F30)</f>
        <v>33.333333333333336</v>
      </c>
      <c r="G39" s="32">
        <f>MAX(J14,J22,J26,J30)</f>
        <v>50.64476045523034</v>
      </c>
      <c r="H39" s="32" t="str">
        <f>"≥"&amp;ROUNDUP(G39,0)+2</f>
        <v>≥53</v>
      </c>
    </row>
    <row r="40" spans="1:10" x14ac:dyDescent="0.25">
      <c r="C40" s="55"/>
      <c r="D40" s="59" t="s">
        <v>46</v>
      </c>
      <c r="E40" s="60"/>
      <c r="F40" s="33">
        <f>MAX(F14,F18,F26,F34)</f>
        <v>33.333333333333336</v>
      </c>
      <c r="G40" s="32">
        <f>MAX(J14,J18,J26,J34)</f>
        <v>50.64476045523034</v>
      </c>
      <c r="H40" s="32" t="str">
        <f>"≥"&amp;ROUNDUP(G40,0)+2</f>
        <v>≥53</v>
      </c>
    </row>
    <row r="41" spans="1:10" x14ac:dyDescent="0.25">
      <c r="C41" s="56"/>
      <c r="D41" s="59" t="s">
        <v>45</v>
      </c>
      <c r="E41" s="60"/>
      <c r="F41" s="33">
        <f>MAX(F14,F22,F26,F34)</f>
        <v>33.333333333333336</v>
      </c>
      <c r="G41" s="32">
        <f>MAX(J14,J22,J26,J34)</f>
        <v>50.64476045523034</v>
      </c>
      <c r="H41" s="32" t="str">
        <f>"≥"&amp;ROUNDUP(G41,0)+2</f>
        <v>≥53</v>
      </c>
    </row>
    <row r="43" spans="1:10" ht="69.75" customHeight="1" x14ac:dyDescent="0.25">
      <c r="A43" s="48" t="s">
        <v>55</v>
      </c>
      <c r="B43" s="49"/>
      <c r="C43" s="49"/>
      <c r="D43" s="49"/>
      <c r="E43" s="49"/>
      <c r="F43" s="49"/>
      <c r="G43" s="49"/>
      <c r="H43" s="49"/>
      <c r="I43" s="49"/>
      <c r="J43" s="49"/>
    </row>
  </sheetData>
  <mergeCells count="23">
    <mergeCell ref="A10:A14"/>
    <mergeCell ref="B14:E14"/>
    <mergeCell ref="A1:J1"/>
    <mergeCell ref="F2:H2"/>
    <mergeCell ref="B3:J3"/>
    <mergeCell ref="A7:A9"/>
    <mergeCell ref="B7:E8"/>
    <mergeCell ref="A15:A18"/>
    <mergeCell ref="B18:E18"/>
    <mergeCell ref="A19:A22"/>
    <mergeCell ref="B22:E22"/>
    <mergeCell ref="A23:A26"/>
    <mergeCell ref="B26:E26"/>
    <mergeCell ref="A43:J43"/>
    <mergeCell ref="A27:A30"/>
    <mergeCell ref="B30:E30"/>
    <mergeCell ref="A31:A34"/>
    <mergeCell ref="B34:E34"/>
    <mergeCell ref="C38:C41"/>
    <mergeCell ref="D38:E38"/>
    <mergeCell ref="D39:E39"/>
    <mergeCell ref="D40:E40"/>
    <mergeCell ref="D41:E41"/>
  </mergeCells>
  <pageMargins left="0.7" right="0.7" top="0.75" bottom="0.75" header="0.3" footer="0.3"/>
  <ignoredErrors>
    <ignoredError sqref="F14:J34" formula="1"/>
  </ignoredError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TR</vt:lpstr>
      <vt:lpstr>EN</vt:lpstr>
      <vt:lpstr>DEU</vt:lpstr>
      <vt:lpstr>MAkinelerin Listesi</vt:lpstr>
      <vt:lpstr>Güç Optimizasyonu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Sinan Evkaya</dc:creator>
  <cp:lastModifiedBy>Fatih Güral -DOLFİN</cp:lastModifiedBy>
  <dcterms:created xsi:type="dcterms:W3CDTF">2026-07-29T08:06:03Z</dcterms:created>
  <dcterms:modified xsi:type="dcterms:W3CDTF">2026-08-20T12:38:04Z</dcterms:modified>
</cp:coreProperties>
</file>